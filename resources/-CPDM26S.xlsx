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apcs 1\PycharmProjects\pythonProject3\resources\"/>
    </mc:Choice>
  </mc:AlternateContent>
  <bookViews>
    <workbookView xWindow="0" yWindow="0" windowWidth="28800" windowHeight="10710"/>
  </bookViews>
  <sheets>
    <sheet name="S1 - spre publicare f.culori" sheetId="1" r:id="rId1"/>
  </sheets>
  <definedNames>
    <definedName name="_xlnm._FilterDatabase" localSheetId="0" hidden="1">'S1 - spre publicare f.culori'!$A$1:$CA$123</definedName>
  </definedNames>
  <calcPr calcId="162913" refMode="R1C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X143" i="1" l="1"/>
  <c r="BT142" i="1"/>
  <c r="BW142" i="1" s="1"/>
  <c r="BT141" i="1"/>
  <c r="BW141" i="1" s="1"/>
  <c r="BT140" i="1"/>
  <c r="BW140" i="1" s="1"/>
  <c r="BT139" i="1"/>
  <c r="BW139" i="1" s="1"/>
  <c r="BT138" i="1"/>
  <c r="BW138" i="1" s="1"/>
  <c r="BT137" i="1"/>
  <c r="BW137" i="1" s="1"/>
  <c r="BT136" i="1"/>
  <c r="BW136" i="1" s="1"/>
  <c r="BT135" i="1"/>
  <c r="BW135" i="1" s="1"/>
  <c r="BT134" i="1"/>
  <c r="BW134" i="1" s="1"/>
  <c r="BT133" i="1"/>
  <c r="BW133" i="1" s="1"/>
  <c r="BT132" i="1"/>
  <c r="BW132" i="1" s="1"/>
  <c r="BT131" i="1"/>
  <c r="BW131" i="1" s="1"/>
  <c r="BT130" i="1"/>
  <c r="BW130" i="1" s="1"/>
  <c r="BV129" i="1"/>
  <c r="BU129" i="1"/>
  <c r="BZ129" i="1" s="1"/>
  <c r="BT129" i="1"/>
  <c r="BV128" i="1"/>
  <c r="BU128" i="1"/>
  <c r="BZ128" i="1" s="1"/>
  <c r="BT128" i="1"/>
  <c r="BV127" i="1"/>
  <c r="BU127" i="1"/>
  <c r="BZ127" i="1" s="1"/>
  <c r="BT127" i="1"/>
  <c r="BW127" i="1" s="1"/>
  <c r="BV126" i="1"/>
  <c r="BW126" i="1" s="1"/>
  <c r="BU126" i="1"/>
  <c r="BZ126" i="1" s="1"/>
  <c r="BT126" i="1"/>
  <c r="BV125" i="1"/>
  <c r="BU125" i="1"/>
  <c r="BZ125" i="1" s="1"/>
  <c r="BT125" i="1"/>
  <c r="BV124" i="1"/>
  <c r="BU124" i="1"/>
  <c r="BZ124" i="1" s="1"/>
  <c r="BT124" i="1"/>
  <c r="BV123" i="1"/>
  <c r="BU123" i="1"/>
  <c r="BZ123" i="1" s="1"/>
  <c r="BT123" i="1"/>
  <c r="BV122" i="1"/>
  <c r="BU122" i="1"/>
  <c r="BZ122" i="1" s="1"/>
  <c r="BT122" i="1"/>
  <c r="BV121" i="1"/>
  <c r="BU121" i="1"/>
  <c r="BZ121" i="1" s="1"/>
  <c r="BT121" i="1"/>
  <c r="BV120" i="1"/>
  <c r="BU120" i="1"/>
  <c r="BZ120" i="1" s="1"/>
  <c r="BT120" i="1"/>
  <c r="BW120" i="1" s="1"/>
  <c r="BV119" i="1"/>
  <c r="BU119" i="1"/>
  <c r="BZ119" i="1" s="1"/>
  <c r="BT119" i="1"/>
  <c r="BW119" i="1" s="1"/>
  <c r="BV118" i="1"/>
  <c r="BU118" i="1"/>
  <c r="BZ118" i="1" s="1"/>
  <c r="BT118" i="1"/>
  <c r="BV117" i="1"/>
  <c r="BU117" i="1"/>
  <c r="BZ117" i="1" s="1"/>
  <c r="BT117" i="1"/>
  <c r="BV116" i="1"/>
  <c r="BU116" i="1"/>
  <c r="BZ116" i="1" s="1"/>
  <c r="BT116" i="1"/>
  <c r="BV115" i="1"/>
  <c r="BU115" i="1"/>
  <c r="BZ115" i="1" s="1"/>
  <c r="BT115" i="1"/>
  <c r="BV114" i="1"/>
  <c r="BU114" i="1"/>
  <c r="BZ114" i="1" s="1"/>
  <c r="BT114" i="1"/>
  <c r="BV113" i="1"/>
  <c r="BU113" i="1"/>
  <c r="BZ113" i="1" s="1"/>
  <c r="BT113" i="1"/>
  <c r="BV112" i="1"/>
  <c r="BU112" i="1"/>
  <c r="BZ112" i="1" s="1"/>
  <c r="BT112" i="1"/>
  <c r="BV111" i="1"/>
  <c r="BU111" i="1"/>
  <c r="BZ111" i="1" s="1"/>
  <c r="BT111" i="1"/>
  <c r="BV110" i="1"/>
  <c r="BU110" i="1"/>
  <c r="BZ110" i="1" s="1"/>
  <c r="BT110" i="1"/>
  <c r="BV109" i="1"/>
  <c r="BU109" i="1"/>
  <c r="BZ109" i="1" s="1"/>
  <c r="BT109" i="1"/>
  <c r="BV108" i="1"/>
  <c r="BU108" i="1"/>
  <c r="BZ108" i="1" s="1"/>
  <c r="BT108" i="1"/>
  <c r="BW108" i="1" s="1"/>
  <c r="BV107" i="1"/>
  <c r="BU107" i="1"/>
  <c r="BZ107" i="1" s="1"/>
  <c r="BT107" i="1"/>
  <c r="BV106" i="1"/>
  <c r="BU106" i="1"/>
  <c r="BZ106" i="1" s="1"/>
  <c r="BT106" i="1"/>
  <c r="BV105" i="1"/>
  <c r="BW105" i="1" s="1"/>
  <c r="BU105" i="1"/>
  <c r="BZ105" i="1" s="1"/>
  <c r="BT105" i="1"/>
  <c r="BV104" i="1"/>
  <c r="BU104" i="1"/>
  <c r="BZ104" i="1" s="1"/>
  <c r="BT104" i="1"/>
  <c r="BV103" i="1"/>
  <c r="BU103" i="1"/>
  <c r="BZ103" i="1" s="1"/>
  <c r="BT103" i="1"/>
  <c r="BV102" i="1"/>
  <c r="BU102" i="1"/>
  <c r="BZ102" i="1" s="1"/>
  <c r="BT102" i="1"/>
  <c r="CB101" i="1"/>
  <c r="BV101" i="1"/>
  <c r="BU101" i="1"/>
  <c r="BZ101" i="1" s="1"/>
  <c r="BT101" i="1"/>
  <c r="BV100" i="1"/>
  <c r="BU100" i="1"/>
  <c r="BZ100" i="1" s="1"/>
  <c r="BT100" i="1"/>
  <c r="BV99" i="1"/>
  <c r="BU99" i="1"/>
  <c r="BZ99" i="1" s="1"/>
  <c r="BT99" i="1"/>
  <c r="BV98" i="1"/>
  <c r="BU98" i="1"/>
  <c r="BZ98" i="1" s="1"/>
  <c r="BT98" i="1"/>
  <c r="BV97" i="1"/>
  <c r="BU97" i="1"/>
  <c r="BZ97" i="1" s="1"/>
  <c r="BT97" i="1"/>
  <c r="BV96" i="1"/>
  <c r="BU96" i="1"/>
  <c r="BZ96" i="1" s="1"/>
  <c r="BT96" i="1"/>
  <c r="BV95" i="1"/>
  <c r="BU95" i="1"/>
  <c r="BZ95" i="1" s="1"/>
  <c r="BT95" i="1"/>
  <c r="BV94" i="1"/>
  <c r="BU94" i="1"/>
  <c r="BZ94" i="1" s="1"/>
  <c r="BT94" i="1"/>
  <c r="BV93" i="1"/>
  <c r="BU93" i="1"/>
  <c r="BZ93" i="1" s="1"/>
  <c r="BT93" i="1"/>
  <c r="BV92" i="1"/>
  <c r="BU92" i="1"/>
  <c r="BZ92" i="1" s="1"/>
  <c r="BT92" i="1"/>
  <c r="BV91" i="1"/>
  <c r="BU91" i="1"/>
  <c r="BZ91" i="1" s="1"/>
  <c r="BT91" i="1"/>
  <c r="BV90" i="1"/>
  <c r="BU90" i="1"/>
  <c r="BZ90" i="1" s="1"/>
  <c r="BT90" i="1"/>
  <c r="BV89" i="1"/>
  <c r="BU89" i="1"/>
  <c r="BZ89" i="1" s="1"/>
  <c r="BT89" i="1"/>
  <c r="BV88" i="1"/>
  <c r="BU88" i="1"/>
  <c r="BZ88" i="1" s="1"/>
  <c r="BT88" i="1"/>
  <c r="BV87" i="1"/>
  <c r="BU87" i="1"/>
  <c r="BZ87" i="1" s="1"/>
  <c r="BT87" i="1"/>
  <c r="CB86" i="1"/>
  <c r="BV86" i="1"/>
  <c r="BU86" i="1"/>
  <c r="BZ86" i="1" s="1"/>
  <c r="BT86" i="1"/>
  <c r="BV85" i="1"/>
  <c r="BU85" i="1"/>
  <c r="BZ85" i="1" s="1"/>
  <c r="BT85" i="1"/>
  <c r="BV84" i="1"/>
  <c r="BU84" i="1"/>
  <c r="BZ84" i="1" s="1"/>
  <c r="BT84" i="1"/>
  <c r="BV83" i="1"/>
  <c r="BU83" i="1"/>
  <c r="BZ83" i="1" s="1"/>
  <c r="BT83" i="1"/>
  <c r="BV82" i="1"/>
  <c r="BU82" i="1"/>
  <c r="BZ82" i="1" s="1"/>
  <c r="BT82" i="1"/>
  <c r="BV81" i="1"/>
  <c r="BU81" i="1"/>
  <c r="BZ81" i="1" s="1"/>
  <c r="BT81" i="1"/>
  <c r="BV80" i="1"/>
  <c r="BU80" i="1"/>
  <c r="BZ80" i="1" s="1"/>
  <c r="BT80" i="1"/>
  <c r="BV79" i="1"/>
  <c r="BU79" i="1"/>
  <c r="BZ79" i="1" s="1"/>
  <c r="BT79" i="1"/>
  <c r="BV78" i="1"/>
  <c r="BU78" i="1"/>
  <c r="BZ78" i="1" s="1"/>
  <c r="BT78" i="1"/>
  <c r="CB77" i="1"/>
  <c r="BV77" i="1"/>
  <c r="BU77" i="1"/>
  <c r="BZ77" i="1" s="1"/>
  <c r="BT77" i="1"/>
  <c r="BV76" i="1"/>
  <c r="BU76" i="1"/>
  <c r="BZ76" i="1" s="1"/>
  <c r="BT76" i="1"/>
  <c r="BV75" i="1"/>
  <c r="BU75" i="1"/>
  <c r="BZ75" i="1" s="1"/>
  <c r="BT75" i="1"/>
  <c r="BV74" i="1"/>
  <c r="BU74" i="1"/>
  <c r="BZ74" i="1" s="1"/>
  <c r="BT74" i="1"/>
  <c r="BV73" i="1"/>
  <c r="BU73" i="1"/>
  <c r="BZ73" i="1" s="1"/>
  <c r="BT73" i="1"/>
  <c r="BW73" i="1" s="1"/>
  <c r="BV72" i="1"/>
  <c r="BU72" i="1"/>
  <c r="BZ72" i="1" s="1"/>
  <c r="BT72" i="1"/>
  <c r="BV71" i="1"/>
  <c r="BU71" i="1"/>
  <c r="BZ71" i="1" s="1"/>
  <c r="BT71" i="1"/>
  <c r="BV70" i="1"/>
  <c r="BU70" i="1"/>
  <c r="BZ70" i="1" s="1"/>
  <c r="BT70" i="1"/>
  <c r="BV69" i="1"/>
  <c r="BU69" i="1"/>
  <c r="BZ69" i="1" s="1"/>
  <c r="BT69" i="1"/>
  <c r="BV68" i="1"/>
  <c r="BU68" i="1"/>
  <c r="BZ68" i="1" s="1"/>
  <c r="BT68" i="1"/>
  <c r="BV67" i="1"/>
  <c r="BU67" i="1"/>
  <c r="BZ67" i="1" s="1"/>
  <c r="BT67" i="1"/>
  <c r="BV66" i="1"/>
  <c r="BU66" i="1"/>
  <c r="BZ66" i="1" s="1"/>
  <c r="BT66" i="1"/>
  <c r="BV65" i="1"/>
  <c r="BU65" i="1"/>
  <c r="BZ65" i="1" s="1"/>
  <c r="BT65" i="1"/>
  <c r="BV64" i="1"/>
  <c r="BU64" i="1"/>
  <c r="BZ64" i="1" s="1"/>
  <c r="BT64" i="1"/>
  <c r="BV63" i="1"/>
  <c r="BU63" i="1"/>
  <c r="BZ63" i="1" s="1"/>
  <c r="BT63" i="1"/>
  <c r="BW63" i="1" s="1"/>
  <c r="BV62" i="1"/>
  <c r="BU62" i="1"/>
  <c r="BZ62" i="1" s="1"/>
  <c r="BT62" i="1"/>
  <c r="BV61" i="1"/>
  <c r="BU61" i="1"/>
  <c r="BZ61" i="1" s="1"/>
  <c r="BT61" i="1"/>
  <c r="BV60" i="1"/>
  <c r="BU60" i="1"/>
  <c r="BZ60" i="1" s="1"/>
  <c r="BT60" i="1"/>
  <c r="BV59" i="1"/>
  <c r="BU59" i="1"/>
  <c r="BZ59" i="1" s="1"/>
  <c r="BT59" i="1"/>
  <c r="BV58" i="1"/>
  <c r="BU58" i="1"/>
  <c r="BZ58" i="1" s="1"/>
  <c r="BT58" i="1"/>
  <c r="BV57" i="1"/>
  <c r="BU57" i="1"/>
  <c r="BZ57" i="1" s="1"/>
  <c r="BT57" i="1"/>
  <c r="BV56" i="1"/>
  <c r="BU56" i="1"/>
  <c r="BZ56" i="1" s="1"/>
  <c r="BT56" i="1"/>
  <c r="BV55" i="1"/>
  <c r="BU55" i="1"/>
  <c r="BZ55" i="1" s="1"/>
  <c r="BT55" i="1"/>
  <c r="BV54" i="1"/>
  <c r="BU54" i="1"/>
  <c r="BZ54" i="1" s="1"/>
  <c r="BT54" i="1"/>
  <c r="BV53" i="1"/>
  <c r="BU53" i="1"/>
  <c r="BZ53" i="1" s="1"/>
  <c r="BT53" i="1"/>
  <c r="BV52" i="1"/>
  <c r="BU52" i="1"/>
  <c r="BZ52" i="1" s="1"/>
  <c r="BT52" i="1"/>
  <c r="BV51" i="1"/>
  <c r="BU51" i="1"/>
  <c r="BZ51" i="1" s="1"/>
  <c r="BT51" i="1"/>
  <c r="BV50" i="1"/>
  <c r="BU50" i="1"/>
  <c r="BZ50" i="1" s="1"/>
  <c r="BT50" i="1"/>
  <c r="BV49" i="1"/>
  <c r="BU49" i="1"/>
  <c r="BZ49" i="1" s="1"/>
  <c r="BT49" i="1"/>
  <c r="BV48" i="1"/>
  <c r="BU48" i="1"/>
  <c r="BZ48" i="1" s="1"/>
  <c r="BT48" i="1"/>
  <c r="CB47" i="1"/>
  <c r="BV47" i="1"/>
  <c r="BU47" i="1"/>
  <c r="BZ47" i="1" s="1"/>
  <c r="BT47" i="1"/>
  <c r="BV46" i="1"/>
  <c r="BU46" i="1"/>
  <c r="BZ46" i="1" s="1"/>
  <c r="BT46" i="1"/>
  <c r="BV45" i="1"/>
  <c r="BU45" i="1"/>
  <c r="BZ45" i="1" s="1"/>
  <c r="BT45" i="1"/>
  <c r="BV44" i="1"/>
  <c r="BU44" i="1"/>
  <c r="BZ44" i="1" s="1"/>
  <c r="BT44" i="1"/>
  <c r="BV43" i="1"/>
  <c r="BU43" i="1"/>
  <c r="BZ43" i="1" s="1"/>
  <c r="BT43" i="1"/>
  <c r="BV42" i="1"/>
  <c r="BU42" i="1"/>
  <c r="BZ42" i="1" s="1"/>
  <c r="BT42" i="1"/>
  <c r="BV41" i="1"/>
  <c r="BU41" i="1"/>
  <c r="BZ41" i="1" s="1"/>
  <c r="BT41" i="1"/>
  <c r="BV40" i="1"/>
  <c r="BU40" i="1"/>
  <c r="BZ40" i="1" s="1"/>
  <c r="BT40" i="1"/>
  <c r="BV39" i="1"/>
  <c r="BU39" i="1"/>
  <c r="BZ39" i="1" s="1"/>
  <c r="BT39" i="1"/>
  <c r="BV38" i="1"/>
  <c r="BU38" i="1"/>
  <c r="BZ38" i="1" s="1"/>
  <c r="BT38" i="1"/>
  <c r="BV37" i="1"/>
  <c r="BU37" i="1"/>
  <c r="BZ37" i="1" s="1"/>
  <c r="BT37" i="1"/>
  <c r="BV36" i="1"/>
  <c r="BU36" i="1"/>
  <c r="BZ36" i="1" s="1"/>
  <c r="BT36" i="1"/>
  <c r="BV35" i="1"/>
  <c r="BU35" i="1"/>
  <c r="BZ35" i="1" s="1"/>
  <c r="BT35" i="1"/>
  <c r="CA34" i="1"/>
  <c r="BV34" i="1"/>
  <c r="BU34" i="1"/>
  <c r="BZ34" i="1" s="1"/>
  <c r="BT34" i="1"/>
  <c r="BW34" i="1" s="1"/>
  <c r="BV33" i="1"/>
  <c r="BU33" i="1"/>
  <c r="BZ33" i="1" s="1"/>
  <c r="BT33" i="1"/>
  <c r="BV32" i="1"/>
  <c r="BU32" i="1"/>
  <c r="BZ32" i="1" s="1"/>
  <c r="BT32" i="1"/>
  <c r="BV31" i="1"/>
  <c r="BU31" i="1"/>
  <c r="BZ31" i="1" s="1"/>
  <c r="BT31" i="1"/>
  <c r="BV30" i="1"/>
  <c r="BU30" i="1"/>
  <c r="BZ30" i="1" s="1"/>
  <c r="BT30" i="1"/>
  <c r="BV29" i="1"/>
  <c r="BU29" i="1"/>
  <c r="BZ29" i="1" s="1"/>
  <c r="BT29" i="1"/>
  <c r="CA28" i="1"/>
  <c r="BV28" i="1"/>
  <c r="BU28" i="1"/>
  <c r="BZ28" i="1" s="1"/>
  <c r="BT28" i="1"/>
  <c r="BV27" i="1"/>
  <c r="BU27" i="1"/>
  <c r="BZ27" i="1" s="1"/>
  <c r="BT27" i="1"/>
  <c r="CA26" i="1"/>
  <c r="BV26" i="1"/>
  <c r="BU26" i="1"/>
  <c r="BZ26" i="1" s="1"/>
  <c r="BT26" i="1"/>
  <c r="BV25" i="1"/>
  <c r="BU25" i="1"/>
  <c r="BZ25" i="1" s="1"/>
  <c r="BT25" i="1"/>
  <c r="BV24" i="1"/>
  <c r="BU24" i="1"/>
  <c r="BZ24" i="1" s="1"/>
  <c r="BT24" i="1"/>
  <c r="BV23" i="1"/>
  <c r="BU23" i="1"/>
  <c r="BZ23" i="1" s="1"/>
  <c r="BT23" i="1"/>
  <c r="BW23" i="1" s="1"/>
  <c r="BV22" i="1"/>
  <c r="BU22" i="1"/>
  <c r="BZ22" i="1" s="1"/>
  <c r="BT22" i="1"/>
  <c r="BV21" i="1"/>
  <c r="BU21" i="1"/>
  <c r="BZ21" i="1" s="1"/>
  <c r="BT21" i="1"/>
  <c r="BV20" i="1"/>
  <c r="BU20" i="1"/>
  <c r="BZ20" i="1" s="1"/>
  <c r="BT20" i="1"/>
  <c r="BV19" i="1"/>
  <c r="BU19" i="1"/>
  <c r="BZ19" i="1" s="1"/>
  <c r="BT19" i="1"/>
  <c r="BV18" i="1"/>
  <c r="BU18" i="1"/>
  <c r="BZ18" i="1" s="1"/>
  <c r="BT18" i="1"/>
  <c r="BV17" i="1"/>
  <c r="BU17" i="1"/>
  <c r="BZ17" i="1" s="1"/>
  <c r="BT17" i="1"/>
  <c r="BV16" i="1"/>
  <c r="BU16" i="1"/>
  <c r="BZ16" i="1" s="1"/>
  <c r="BT16" i="1"/>
  <c r="BW16" i="1" s="1"/>
  <c r="BV15" i="1"/>
  <c r="BU15" i="1"/>
  <c r="BZ15" i="1" s="1"/>
  <c r="BT15" i="1"/>
  <c r="BV14" i="1"/>
  <c r="BU14" i="1"/>
  <c r="BZ14" i="1" s="1"/>
  <c r="BT14" i="1"/>
  <c r="BV13" i="1"/>
  <c r="BU13" i="1"/>
  <c r="BZ13" i="1" s="1"/>
  <c r="BT13" i="1"/>
  <c r="BV12" i="1"/>
  <c r="BU12" i="1"/>
  <c r="BZ12" i="1" s="1"/>
  <c r="BT12" i="1"/>
  <c r="BV11" i="1"/>
  <c r="BU11" i="1"/>
  <c r="BZ11" i="1" s="1"/>
  <c r="BT11" i="1"/>
  <c r="BV10" i="1"/>
  <c r="BU10" i="1"/>
  <c r="BZ10" i="1" s="1"/>
  <c r="BT10" i="1"/>
  <c r="BV9" i="1"/>
  <c r="BU9" i="1"/>
  <c r="BZ9" i="1" s="1"/>
  <c r="BT9" i="1"/>
  <c r="BW9" i="1" s="1"/>
  <c r="BV8" i="1"/>
  <c r="BU8" i="1"/>
  <c r="BZ8" i="1" s="1"/>
  <c r="BT8" i="1"/>
  <c r="BV7" i="1"/>
  <c r="BU7" i="1"/>
  <c r="BZ7" i="1" s="1"/>
  <c r="BT7" i="1"/>
  <c r="BV6" i="1"/>
  <c r="BU6" i="1"/>
  <c r="BZ6" i="1" s="1"/>
  <c r="BT6" i="1"/>
  <c r="BV5" i="1"/>
  <c r="BU5" i="1"/>
  <c r="BZ5" i="1" s="1"/>
  <c r="BT5" i="1"/>
  <c r="BV4" i="1"/>
  <c r="BU4" i="1"/>
  <c r="BZ4" i="1" s="1"/>
  <c r="BT4" i="1"/>
  <c r="BV3" i="1"/>
  <c r="BU3" i="1"/>
  <c r="BZ3" i="1" s="1"/>
  <c r="BT3" i="1"/>
  <c r="BV2" i="1"/>
  <c r="BU2" i="1"/>
  <c r="BZ2" i="1" s="1"/>
  <c r="BT2" i="1"/>
  <c r="BW104" i="1" l="1"/>
  <c r="BW117" i="1"/>
  <c r="BW110" i="1"/>
  <c r="BW2" i="1"/>
  <c r="BW10" i="1"/>
  <c r="BW30" i="1"/>
  <c r="BW48" i="1"/>
  <c r="BW95" i="1"/>
  <c r="BW107" i="1"/>
  <c r="BW40" i="1"/>
  <c r="BW89" i="1"/>
  <c r="BW27" i="1"/>
  <c r="BW85" i="1"/>
  <c r="BW25" i="1"/>
  <c r="BW45" i="1"/>
  <c r="BW84" i="1"/>
  <c r="BW82" i="1"/>
  <c r="BW55" i="1"/>
  <c r="BW78" i="1"/>
  <c r="BW100" i="1"/>
  <c r="BW102" i="1"/>
  <c r="BW13" i="1"/>
  <c r="BW96" i="1"/>
  <c r="BW98" i="1"/>
  <c r="BW111" i="1"/>
  <c r="BW33" i="1"/>
  <c r="BW39" i="1"/>
  <c r="BW41" i="1"/>
  <c r="BW56" i="1"/>
  <c r="BW81" i="1"/>
  <c r="BW5" i="1"/>
  <c r="BW20" i="1"/>
  <c r="BW22" i="1"/>
  <c r="BW42" i="1"/>
  <c r="BW47" i="1"/>
  <c r="BW54" i="1"/>
  <c r="BW75" i="1"/>
  <c r="BW79" i="1"/>
  <c r="BW86" i="1"/>
  <c r="BW97" i="1"/>
  <c r="BW99" i="1"/>
  <c r="BW121" i="1"/>
  <c r="BW4" i="1"/>
  <c r="BW17" i="1"/>
  <c r="BW19" i="1"/>
  <c r="BW36" i="1"/>
  <c r="BW38" i="1"/>
  <c r="BW58" i="1"/>
  <c r="BW83" i="1"/>
  <c r="BW106" i="1"/>
  <c r="BW114" i="1"/>
  <c r="BW51" i="1"/>
  <c r="BW65" i="1"/>
  <c r="BW69" i="1"/>
  <c r="BW77" i="1"/>
  <c r="BW91" i="1"/>
  <c r="BW93" i="1"/>
  <c r="BW8" i="1"/>
  <c r="BW122" i="1"/>
  <c r="BW3" i="1"/>
  <c r="BW31" i="1"/>
  <c r="BW52" i="1"/>
  <c r="BW68" i="1"/>
  <c r="BW76" i="1"/>
  <c r="BW88" i="1"/>
  <c r="BW101" i="1"/>
  <c r="BW113" i="1"/>
  <c r="BW128" i="1"/>
  <c r="BW12" i="1"/>
  <c r="BW24" i="1"/>
  <c r="BW26" i="1"/>
  <c r="BW35" i="1"/>
  <c r="BW43" i="1"/>
  <c r="BW46" i="1"/>
  <c r="BW50" i="1"/>
  <c r="BW61" i="1"/>
  <c r="BW70" i="1"/>
  <c r="BW90" i="1"/>
  <c r="BW94" i="1"/>
  <c r="BW15" i="1"/>
  <c r="BW123" i="1"/>
  <c r="BW7" i="1"/>
  <c r="BW21" i="1"/>
  <c r="BW29" i="1"/>
  <c r="BW32" i="1"/>
  <c r="BW44" i="1"/>
  <c r="BW49" i="1"/>
  <c r="BW60" i="1"/>
  <c r="BW62" i="1"/>
  <c r="BW67" i="1"/>
  <c r="BW72" i="1"/>
  <c r="BW92" i="1"/>
  <c r="BW112" i="1"/>
  <c r="BW14" i="1"/>
  <c r="BW37" i="1"/>
  <c r="BW53" i="1"/>
  <c r="BW64" i="1"/>
  <c r="BW80" i="1"/>
  <c r="BW103" i="1"/>
  <c r="BW115" i="1"/>
  <c r="BW116" i="1"/>
  <c r="BW118" i="1"/>
  <c r="BW124" i="1"/>
  <c r="BW11" i="1"/>
  <c r="BW18" i="1"/>
  <c r="BW74" i="1"/>
  <c r="BW87" i="1"/>
  <c r="BW129" i="1"/>
  <c r="BW6" i="1"/>
  <c r="BW28" i="1"/>
  <c r="BW57" i="1"/>
  <c r="BW59" i="1"/>
  <c r="BW66" i="1"/>
  <c r="BW71" i="1"/>
  <c r="BW109" i="1"/>
  <c r="BW125" i="1"/>
</calcChain>
</file>

<file path=xl/sharedStrings.xml><?xml version="1.0" encoding="utf-8"?>
<sst xmlns="http://schemas.openxmlformats.org/spreadsheetml/2006/main" count="674" uniqueCount="387">
  <si>
    <t>Nr. Lot</t>
  </si>
  <si>
    <t>Denumirea Lotului</t>
  </si>
  <si>
    <t>Denumrea pozitiei</t>
  </si>
  <si>
    <t>Specificația Тehnică</t>
  </si>
  <si>
    <t>Unitatea de măsură</t>
  </si>
  <si>
    <t>ADMINISTRATIA NATIONALA A PENITENCIARELOR (0004)</t>
  </si>
  <si>
    <t>CENTRUL DE PLASAMENT TEMPORAR SI REABILITARE PENTRU COPII MUN BALTI</t>
  </si>
  <si>
    <t>IM CENTRUL STOMATOLOGIC RAIONAL SOROCA</t>
  </si>
  <si>
    <t>CABINETUL INDIVIDUAL AL MEDICULUI DE FAMILIE CORCODEL GEORGETA (0025)</t>
  </si>
  <si>
    <t>IMSP ASOCIATIA MEDICALA TERITORIALA BUIUCANI</t>
  </si>
  <si>
    <t>IMSP ASOCIATIA MEDICALA TERITORIALA CENTRU (0162)</t>
  </si>
  <si>
    <t>IMSP CENTRUL STOMATOLOGIC MUNICIPAL DE COPII (0420)</t>
  </si>
  <si>
    <t>IMSP ASOCIATIA MEDICALA TERITORIALA RASCANI</t>
  </si>
  <si>
    <t>IMSP CENTRUL DE SANATATE CAUSENI</t>
  </si>
  <si>
    <t>IMSP CENTRUL DE SANATATE CIMISLIA</t>
  </si>
  <si>
    <t>IMSP CENTRUL DE SANATATE COMRAT</t>
  </si>
  <si>
    <t>IMSP CENTRUL DE SANATATE IGNATEI</t>
  </si>
  <si>
    <t>IMSP CENTRUL DE SANATATE ONISCANI</t>
  </si>
  <si>
    <t>IMSP CENTRUL DE SANATATE PERESECINA</t>
  </si>
  <si>
    <t>IMSP INSTITUTUL DE NEUROLOGIE SI NEUROCHIRURGIE DIOMID GHERMAN (0427)</t>
  </si>
  <si>
    <t>IMSP SPITALUL CLINIC MUNICIPAL DE COPII V IGNATENCO (0442)</t>
  </si>
  <si>
    <t>IMSP SPITALUL CLINIC BALTI (0436)</t>
  </si>
  <si>
    <t>IMSP CLINICA UNIVERSITARA DE ASISTENTA MEDICALA PRIMARA A USMF N TESTIMITANU</t>
  </si>
  <si>
    <t>IMSP CENTRUL REPUBLICAN DE REABILITARE PENTRU COPII</t>
  </si>
  <si>
    <t>IMSP SPITALUL CLINIC DE PSIHIATRIE (0438)</t>
  </si>
  <si>
    <t>IMSP INSTITUTUL DE MEDICINA URGENTA</t>
  </si>
  <si>
    <t>IMSP INSTITUTUL DE PNEUMOLOGIE CHIRIL DRAGANIUC</t>
  </si>
  <si>
    <t>IMSP INSTITUTUL MAMEI SI COPILULUI</t>
  </si>
  <si>
    <t>IMSP INSTITUTUL ONCOLOGIC</t>
  </si>
  <si>
    <t>IMSP SPITALUL CLINIC DE TRAUMATOLOGIE SI ORTOPEDIE</t>
  </si>
  <si>
    <t>IMSP SPITALUL CLINIC MUNICIPAL DE BOLI CONTAGIOASE DE COPII</t>
  </si>
  <si>
    <t>IMSP SPITALUL CLINIC MUNICIPAL DE COPII NR 1</t>
  </si>
  <si>
    <t>IMSP SPITALUL CLINIC MUNICIPAL DE FTIZIOPNEUMOLOGIE</t>
  </si>
  <si>
    <t>IMSP SPITALUL DE STAT</t>
  </si>
  <si>
    <t>IMSP SPITALUL CLINIC MUNICIPAL SFANTA TREIME (0446)</t>
  </si>
  <si>
    <t>IMSP SPITALUL CLINIC MUNICIPAL SFANTUL ARHANGHEL MIHAIL</t>
  </si>
  <si>
    <t>IMSP SPITALUL CLINIC REPUBLICAN TIMOFEI MOSNEAGA</t>
  </si>
  <si>
    <t>SPITALUL CLINIC MILITAR CENTRAL (0576)</t>
  </si>
  <si>
    <t>IMSP SPITALUL CLINIC MUNICIPAL GHEORGHE PALADI</t>
  </si>
  <si>
    <t>IMSP CENTRUL REPUBLICAN DE DIAGNOSTICARE MEDICALA</t>
  </si>
  <si>
    <t>SERVICIUL DE INFORMATII SI SECURITATE AL REPUBLICII MOLDOVA</t>
  </si>
  <si>
    <t>IMSP INSTITUTUL DE CARDIOLOGIE</t>
  </si>
  <si>
    <t>IMSP CENTRUL DE SANATATE SOROCA</t>
  </si>
  <si>
    <t>IMSP SPITALUL RAIONAL ANENII NOI</t>
  </si>
  <si>
    <t>IMSP SPITALUL RAIONAL BRICENI (0455)</t>
  </si>
  <si>
    <t>IMSP SPITALUL RAIONAL CANTEMIR (0458)</t>
  </si>
  <si>
    <t>IMSP SPITALUL RAIONAL CAUSENI ANA SI ALEXANDRU</t>
  </si>
  <si>
    <t>IMSP SPITALUL RAIONAL FLORESTI</t>
  </si>
  <si>
    <t>IMSP SPITALUL RAIONAL HANCESTI</t>
  </si>
  <si>
    <t>IMSP SPITALUL RAIONAL NISPORENI</t>
  </si>
  <si>
    <t>IMSP SPITALUL RAIONAL CAHUL</t>
  </si>
  <si>
    <t>IMSP SPITALUL RAIONAL CALARASI</t>
  </si>
  <si>
    <t>IMSP SPITALUL RAIONAL COMRAT ISAAC GURFINCHEL (0462)</t>
  </si>
  <si>
    <t>IMSP SPITALUL RAIONAL EDINET (0466)</t>
  </si>
  <si>
    <t>IMSP SPITALUL RAIONAL GLODENI (0469)</t>
  </si>
  <si>
    <t>IMSP SPITALUL RAIONAL LEOVA (0472)</t>
  </si>
  <si>
    <t>IMSP SPITALUL RAIONAL CEADIR-LUNGA (0460)</t>
  </si>
  <si>
    <t>IMSP SPITALUL RAIONAL CRIULENI (0463)</t>
  </si>
  <si>
    <t>IMSP SPITALUL RAIONAL FALESTI (0467)</t>
  </si>
  <si>
    <t>IMSP SPITALUL RAIONAL ORHEI (0475)</t>
  </si>
  <si>
    <t>IMSP SPITALUL RAIONAL SOROCA A PRISACARI (0480)</t>
  </si>
  <si>
    <t>IMSP SPITALUL RAIONAL UNGHENI (0485)</t>
  </si>
  <si>
    <t>IMSP SPITALUL RAIONAL CIMISLIA</t>
  </si>
  <si>
    <t>IMSP SPITALUL RAIONAL STRASENI</t>
  </si>
  <si>
    <t>IMSP SPITALUL RAIONAL RASCANI (0476)</t>
  </si>
  <si>
    <t>IMSP SPITALUL RAIONAL REZINA (0477)</t>
  </si>
  <si>
    <t>IMSP SPITALUL RAIONAL SANGEREI (0478)</t>
  </si>
  <si>
    <t>IMSP SPITALUL RAIONAL SOLDANESTI (0479)</t>
  </si>
  <si>
    <t>SERVICIUL MEDICAL AL MINISTERULUI AFACERILOR INTERNE (0570)</t>
  </si>
  <si>
    <t>IMSP SPITALUL RAIONAL TELENESTI (0484)</t>
  </si>
  <si>
    <t>IMSP SPITALUL RAIONAL STEFAN VODA (0481)</t>
  </si>
  <si>
    <t>Cantitatea Totală</t>
  </si>
  <si>
    <t>Preț estimativ (fără TVA)</t>
  </si>
  <si>
    <t>Suma alocată</t>
  </si>
  <si>
    <t>Pret estimat (cu TVA)</t>
  </si>
  <si>
    <t>Suma cu TVA</t>
  </si>
  <si>
    <t>Nota</t>
  </si>
  <si>
    <t xml:space="preserve"> Electroade combinat Tip ac+bila ceramica(hibrid)</t>
  </si>
  <si>
    <t xml:space="preserve"> Electrod hibrid combinat cu doua tipuri de cutite,pentru a   acoperi toate etapele precum marcare, pretaierea,incizia si disectia cu un cutit de tip bila  ceramica si tip ac. </t>
  </si>
  <si>
    <t>set</t>
  </si>
  <si>
    <t>Buton apă/aer</t>
  </si>
  <si>
    <t>Compatibil cu Endoscoapele olimpus  seria 190  gastro/ colono</t>
  </si>
  <si>
    <t>Bucată</t>
  </si>
  <si>
    <t>De la Tatiana</t>
  </si>
  <si>
    <t>Buton de aspirație</t>
  </si>
  <si>
    <t>Cablu electric,  K. Storz</t>
  </si>
  <si>
    <t>Cablu electric pentru rezectie in mediul salin, bipolar (compatibil cu K. Storz), până la 20 utilizări.</t>
  </si>
  <si>
    <t>Cablu monopolar pentru endoscopie flexibilă</t>
  </si>
  <si>
    <t>Compatibil cu coagulatorul TOM 211</t>
  </si>
  <si>
    <t>Cablul-pacientului   ECG 6 canale</t>
  </si>
  <si>
    <t>Compatibil cu aparart ECG 6 canale cu interpretare</t>
  </si>
  <si>
    <t>Cablul-pacientului  ECG CardiMax  FX 7201</t>
  </si>
  <si>
    <t>Compatibil cu aparatul ECG CardiMax  FX 7201</t>
  </si>
  <si>
    <t>Cablul-pacientului  ECG MAG 600</t>
  </si>
  <si>
    <t>Compatibil cu aparart ECG MAG 600</t>
  </si>
  <si>
    <t>Cateter cu balon cu electrod bipolar pentru cardiostimulare electrică intracardiacă, transvenos , 5Fr</t>
  </si>
  <si>
    <t xml:space="preserve">5Fr, Lungimea 125 cm,Primul electrod la capătul distal, al doilea electrod 1 cm proximal, cu balon, compatibil cu electrocardiostimulator de tip Medtronic. </t>
  </si>
  <si>
    <t>Cateter WIT Mandrin</t>
  </si>
  <si>
    <t>Cateter cu mandren ( echivalent cu HIGH FLOW DOUBLE LUMEN CATHETER,JOLINE GmbH and CO.KG)
Material: Poliuretan termosenzitiv (Tecoflex)- ax radioopac. Vârf special (design unic), fără găuri laterale, design hemodinamic. Mandren preînserat pentru inserție uşoară. Ac puncție 18 G. Ghid in J din NITINOL (rezistent la cudare) - 0.97/ 700 mm. Secțiuni (arterială şi venoasă) împărţite în mod egal. 2 porturi de injectare/conectare tip luer lock. Dilatator 13 Fr</t>
  </si>
  <si>
    <t>Clame hemostatice endoscopice (unica folosinta)</t>
  </si>
  <si>
    <t>Clame hemostatice endoscopice (unica folosinta) :
Lungime cateter - 2200mm
Diametru - 2,8mm                                                            
Open Width - 11mm</t>
  </si>
  <si>
    <t>Colecting bag Omniset Bbraun Avitum AG, Germania</t>
  </si>
  <si>
    <t>Punga de golire cu volum de 7 litri, sterilă, 
Punga are un port de golireși unul pentru conectarea liniei efluent</t>
  </si>
  <si>
    <t>Consumabile BBraun Turn AESCULAP</t>
  </si>
  <si>
    <t>Pensa sigilare vasculară bipolară tip CAIMAN, falci
nearticulate, lungimea falci 26.5mm, lama taiere inclusă,
lungime taiere 23.5mm, diametru</t>
  </si>
  <si>
    <t>Cytosorb filtru</t>
  </si>
  <si>
    <t>KIT CYTOSORB PT SEPSIS / Cartuș absorbant (Cytosorb)
Cartuş dedicat adsorbţiei citokinelor, bilirubinei, mioglobinei, hemoglobinei libere, amoniacului, acizilor biliari, toxinelor de clostridium perfringens, exotoxinelor streptococcus pyogenes, precum şi ale staphylococcus aureus. Materialul adsorbant - polimer biocompatibil. Compatibil cu orice aparat pentru hemofiltrare/hemoperfuzie şi circulaţie extracorporală (CEC, ECMO), putând fi inclus în circuitele de epurare extracorporală cu ajutorul adaptorilor specifici. Trebuie să poată fi folosit în orice terapie CRRT, HP, HD, anticoagulare cu heparina sau citrat. Volumul cartuşului trebuie să fie de 300 ml. Adsorberul trebuie sa fie folosit în tratamente de 24 de ore. Pentru primingul adsorberului - e nevoie de aproximativ 2 1 ser fiziologic neheparinizat. Selectivitatea moleculară pentru substanțele adsorbite trebuie să fie până la 55.000 Daltoni. Volumul de extracorporal rezidual trebuie să nu depasescă 150 ml. Trebuie să funcționeze cu fluxuri cuprinse între 100 şi 700ml/min. Preumplut cu clorura de sodiu 0,9%</t>
  </si>
  <si>
    <t>DVD-R+plicuri ( 007260 )</t>
  </si>
  <si>
    <t>DVD-R+plicuri ( 007260 ), DVD-R( disc pentru
stocare rezultatelor după examinarea tomografice) + plic
(convert) cu fereastra transparenta, Bucată</t>
  </si>
  <si>
    <t xml:space="preserve">  SCR Rg01-6082</t>
  </si>
  <si>
    <t>Electrod ECG, Adeziv, diametru 22mm
 Ag/AgCl,  Tip snap button, De unica folosinta</t>
  </si>
  <si>
    <t>Electrod pasiv, Lamiday Noury</t>
  </si>
  <si>
    <t>Electrod pasiv de o singura folosinta,cu un contact placa cu lipici,pentru maturi, pentru coagulatorul "Lamiday Noury" de care dispune sectia</t>
  </si>
  <si>
    <t>Electrod taiere bipolar, Karl
Storz ( 006950 )</t>
  </si>
  <si>
    <t>EElectrod taiere bipolar, Karl Storz ( 006950 ),
Electrod taiere, capăt unghiular, tip ansă, bipolar, 2 tije,
compatibil teacă 24/26 Fr (K. Storz), diametru 0,40 mm,
Bucată</t>
  </si>
  <si>
    <t>Electrozi de unica folosinta, cu conectare directa la cabluri si defibrilator pentru defibrilare si pacing transcutan, compatibile cu Defibrilator Schiller Defigard 5000</t>
  </si>
  <si>
    <t>Electrozi multifuncționali de unică folosință pentru defibrilare externă, cardioversie electrică sincronizată, stimulare cardiacă și monitorizare EKG, pentru adulți. Compatibile cu Defibrilator Schiller Defigard 5000</t>
  </si>
  <si>
    <t>Electrozi de unică folosință pentru sistemaTOF</t>
  </si>
  <si>
    <t>Electrozi de suprafață Ag/AgCl, diametru: 20-25 mm, forma: circulară, Bază adezivă hipoalergenică pentru fixare sigură pe piele,. Conector tip"snap"(buton). Impendanță redusă pentru transmiterea precisă a impulsurilor electrice. Ambalare individuală sterila, în cutii de10/20/50 perechi. Optimizați pentru monitorizareaneuromusculară TOF( Train-of-Four). Donație Jayka.</t>
  </si>
  <si>
    <t>Electrozi EMG, de unică folosință</t>
  </si>
  <si>
    <t>Cu proprietate adezivă, cu diametru până la 40 mm.</t>
  </si>
  <si>
    <t xml:space="preserve">Electrozi miocardiali pentru stimulare temporară  </t>
  </si>
  <si>
    <t>Cu 5 ace; 3/0; Lungimea (cm ) –aprox. 220 cm; Forma acului toracal – curbata d1mm; 4 acele miocardiale d.0,45mm  - cu fixarea fina</t>
  </si>
  <si>
    <t>Electrozi pentru coagulare cu lamă tip (cuțit)</t>
  </si>
  <si>
    <t>Electrozi pentru coagulare cu lamă tip (cuțit)
Ambalat în pungi sterile individuale, produs de unică folosință.</t>
  </si>
  <si>
    <t>necesar pentru secția chirurgie</t>
  </si>
  <si>
    <t>Endoclipse pentru hemostaza endoscopica</t>
  </si>
  <si>
    <t>Lubgime- 230mm., redeschidere, preferabil rotabile, canal de lucru 2.8 mm., distanta de deschidere - 17 mm</t>
  </si>
  <si>
    <t>Film radiologic 20 x 25 cm  (8 x 10 inch) compatibil cu DryPro  ( 006994 )</t>
  </si>
  <si>
    <t>Film radiologic 20 x 25 cm  (8 x 10 inch) compatibil cu DryPro  ( 006994 ), Film radiologic 20 x 25 cm  (8 x 10 inch)
ambalaj până la 125 Bucată în cutie  
compatibil cu DryPro,Konica Minolta, Bucată</t>
  </si>
  <si>
    <t>Film radiologic 35 x 43 cm
(14 x 17 inch) compatibil cu
DryPro Sigma</t>
  </si>
  <si>
    <t>Film radiologic 35x 43 cm (14 x 17 inch)
ambalaj până la 125 bucăți în cutie
compatibil cu DryPro Sigma,Konica Minolta, Bucată</t>
  </si>
  <si>
    <t>Film radiologic cu baza albastra 20 x 25 cm  (8 x 10 inch) compatibil cu Horizon  ( 006983 )</t>
  </si>
  <si>
    <t>Film radiologic cu baza albastra 20 x 25 cm  (8 x 10 inch) compatibil cu Horizon  ( 006983 ), Film radiologic cu baza albastra
1. Dimensiune 20 x 25 cm  (8 x 10 inch)
2.Tonuri de gri ≥4096
3.Ton continuu 
4. Rezistent la abraziune
5. Rezistent la substanțe chimice și apă
6.Rezoluție ≥ 12.6 pixels/mm sau  ≥ 320DPI
7.Compatibil cu printer medical Horizon, Codonics
8.La vizualizare și depozitare normală nici o schimbarea și decolorarea imaginii
 9.Bază albastră
10.  Echivalent cu model   810-DVB
11. Până la 100 Bucată în cutie, Bucată</t>
  </si>
  <si>
    <t>Filtre bacteriene pentru aspirare KV-5</t>
  </si>
  <si>
    <t>Filtre bacteriene pentru aspirare KV-5
Compatibile  cu  aspiratoarele KV-5</t>
  </si>
  <si>
    <t>Filtru antibacterial, de unica
folosința compatibil cu Pony FX</t>
  </si>
  <si>
    <t>Filtru antibacterial, de unica
folosința compatibil cu Pony FX , 
1.Filtru antibacterial pentru
spirometrie
2. Dimensiuni:
Diametru exterior – 30,7mm ±0,5mm
Lungime – 75mm ±5mm
3. Destinat pentru adulți
4. Poate fi utilizat la aparatul Pony FX
5. De unică folosința
6. Ambalaj individual
7. Echivalent cu model A 182 300 005, Cosmed, Bucată</t>
  </si>
  <si>
    <t>Filtru antibacterian hidrofob
compatibil cu aspiratoarele
chirurgicale ( 007006 )</t>
  </si>
  <si>
    <t>Filtru antibacterian hidrofob compatibil cu
aspiratoarele chirurgicale ( 007006 ), Filtru antibacterian
hidrofob compatibil cu aspiratoare chirurgicale, diametru
conector 8 mm
, Bucată</t>
  </si>
  <si>
    <t>Filtru antibacterian pentru spirometru de unică folosință</t>
  </si>
  <si>
    <t xml:space="preserve">Filtru antibacterian pentru spirometru de unică folosință diametru 29mm N1 </t>
  </si>
  <si>
    <t>de sunat luni!! Eduard SIS</t>
  </si>
  <si>
    <t>Filtru de perfuzie de 0,2 µm ( echivalent cu Sterifix 0,2 infusion filter)</t>
  </si>
  <si>
    <t xml:space="preserve">Filtru antibacterial, pentru infuziile cu infuzomat FMS de 48-96  de ore, 
0,2 µm cu membrană pozitiv,suprafaţă de filtrare 10 cm2,volum de umplere 2,4 ml, 
debit minim 30 ml/minut rezistent la presiuni de max. 3,1 bar, conexiuneluer-lock 
a ambelecapete de conectare,sterilizare EO. </t>
  </si>
  <si>
    <t>Fixatoare adezive multiple pentru tuburile endotraheale la adulți, adolescenți și copii. ( 003003 )</t>
  </si>
  <si>
    <t>Flexibil, permite mișcarea TET, ușor de aplicat, poate fi aplicat de o singură persoană, să nu irite pielea, Bucată</t>
  </si>
  <si>
    <t>Folii pentru procedura de electroterapie</t>
  </si>
  <si>
    <t>Folii din plastic, transparente, dimensiune 18x12cm. Set de minim 1000 folii. Compatibil cu aparatele de electroterapie BTL. Prezentarea mostrelor.</t>
  </si>
  <si>
    <t>Gel ultrasonografie
(ecografie), 1000 ml ( 007020 )</t>
  </si>
  <si>
    <t>Gel ultrasonografie (ecografie), 1000 ml ( 007020 ),
1.volum: 1000 ml
2.PH 5.5- 7;
3.transparent, incolor, inodor (fără miros)
4.să nu conțină: formaldehidă, stabilizatori, substanțe
uleioase, săruri
5.hidrosolubil
7. Flacon reutilizabil
8 Ambalajul sa fie transparent, flexibil moale,cu
posibilitatea de dozare, Bucată</t>
  </si>
  <si>
    <t>pret estimat 2026/ 19,21</t>
  </si>
  <si>
    <t>Gel ultrasonografie
(ecografie), 5000 ml ( 007021 )</t>
  </si>
  <si>
    <t>Gel ultrasonografie (ecografie), 5000 ml ( 007021 ),
1.volum: 5000 ml
2.1 flacon de lucru, gol, transparent ~ 250ml (pentru
fiecare 5000 ml cîte un flacon)
3.PH 5.5- 7;
4.transparent, incolor, inodor (fără miros)
5.să nu conțină: formaldehidă, stabilizatori, substanțe
uleioase, săruri
6.hidrosolubil.
7. Ambalajul sa fie transparent, flexibil moale, Bucată</t>
  </si>
  <si>
    <t>pret estimat 2026/ 64,68</t>
  </si>
  <si>
    <t xml:space="preserve">Hartie milimetrica p/u ECG, termosens.112mm x 25mm tip:rola </t>
  </si>
  <si>
    <t>Hartie pentru imprimanta HPRT HM-E 200</t>
  </si>
  <si>
    <t>Hârtie  milimetrică   pentru  ECG termosensibilă  210  mm x 30</t>
  </si>
  <si>
    <t>Hârtie  milimetrică   pentru  ECG termosensibilă  210  mm x 30
tip  rolă caroiaj roșu/albastru</t>
  </si>
  <si>
    <t>Nu  este  în  lista  de  bază</t>
  </si>
  <si>
    <t>Hârtie milimetrică p/u ECG, termosensibila 80mm x 25m,  Beneheart R3 Mindray</t>
  </si>
  <si>
    <t>Hârtie termosensibila cu grila, dimensiuni 80 mm x 25 m, tip rola, compatibil cu ECG Mindray Beneheart R3, cu tub de plastic de fixare</t>
  </si>
  <si>
    <t>Hirtie milimetrica p/u ECG , termosensibila 210mm х 282mm x 180P tip: pliată, Shiller</t>
  </si>
  <si>
    <t>Hîrtie milimetrică p/u ECG , termosensibilă 210mm х 282mm x 180 tip: pliată, compatibil cu Schiller</t>
  </si>
  <si>
    <t>Hirtie printer USG</t>
  </si>
  <si>
    <t>110mmx20m,maximal lucioasa (tip-II) UPP-100HD</t>
  </si>
  <si>
    <t>Hirtie termica latimea 37 mm</t>
  </si>
  <si>
    <t>Hirtie termica cu latimea 37 mm.</t>
  </si>
  <si>
    <t>Hirtie termica latimea 56 mm</t>
  </si>
  <si>
    <t>Hirtie termica cu latimea 56 mm.Pentru analizatorul hematologic Sysmex XP-300</t>
  </si>
  <si>
    <t>Hirtie termica latimea 80 mm</t>
  </si>
  <si>
    <t>Hirtie termica cu latimea 80 mm.</t>
  </si>
  <si>
    <t>Hîrtie milimetrică p/u ECG</t>
  </si>
  <si>
    <t>110mm*20m termosensibilă tip rulou</t>
  </si>
  <si>
    <r>
      <rPr>
        <b/>
        <sz val="11"/>
        <color theme="1"/>
        <rFont val="Times New Roman"/>
        <family val="1"/>
      </rPr>
      <t>110mm*20m</t>
    </r>
    <r>
      <rPr>
        <sz val="11"/>
        <color theme="1"/>
        <rFont val="Times New Roman"/>
        <family val="1"/>
      </rPr>
      <t xml:space="preserve"> termosensibilă tip (z-pachet)</t>
    </r>
  </si>
  <si>
    <t>Hîrtie termo 210 mm x 25m, Siemens Arcadis</t>
  </si>
  <si>
    <t>Hîrtie termo compatibila cu dispozitivul Siemens Arcadis , 210 mm x 25 m (tip SONV sau echivalentul)</t>
  </si>
  <si>
    <t>rulou</t>
  </si>
  <si>
    <t>Husa sterila p/u microscop chirurgical</t>
  </si>
  <si>
    <t>Husa sterila p/u microscop chirurgical de tip"smartdrape"REF:306029-0000-0000.Compatibila  cu microscopul chirurgical ZEISS Tivato 700. Cu cipul atasat de husa p/u activarea functiei"Smart drape:de la microscopul chirurgical mentionat mai sus. De o singura utilizare.Dimensiuni:132 cm x 340 cm.Anul de productie 2025.</t>
  </si>
  <si>
    <t>Indic. de contr. a steriliz. cu vapori EXTERN</t>
  </si>
  <si>
    <t>Indic. de contr. a steriliz. cu vapori EXTERN  "ИКПС-132/20" nr.1000 N1</t>
  </si>
  <si>
    <t>Indic. de contr. a steriliz. cu vapori INTERN</t>
  </si>
  <si>
    <t>Indic. de contr. a steriliz. cu vapori INTERN "ИКПС-132/20" nr.1000 N1</t>
  </si>
  <si>
    <t>Indic. de contr. a steriliz. cu vapori si aer</t>
  </si>
  <si>
    <t>Indic. de contr. a steriliz. cu vapori si aer "ИКВС-180/60" nr.1000 N1</t>
  </si>
  <si>
    <t xml:space="preserve">Infusomat Space Line
Standart ( 007304 )
</t>
  </si>
  <si>
    <t>Infusomat Space Line Standart ( 007304 ), Sisteme
pentru infuziea lichidelor ,preparatelor citostatice cu
infuzomate FMS,non stop 24
-48 ore.Tub de silicon,
rezistentla presiune .PVC
-free.Lungimea 300 cm, Bucată</t>
  </si>
  <si>
    <t>Invelișuri de protecție electroterapie pentru aparatele BTL</t>
  </si>
  <si>
    <t>Huse din burete pentru electrozi electroterapie 13cmx9cm. Compatibil cu aparatele de electroterapie BTL. Prezentarea mostrelor.</t>
  </si>
  <si>
    <t>Kit pentru hemodiafiltratre venovenoasă  continue compatibil  Prismaflex Gambro.</t>
  </si>
  <si>
    <t>ST 60  suprafața efectiva a membranei 0.6 m2,  maximum TMP 450 mmHg,  blood volum set 97 ml, presiunea sangvina maximală 500 mmHg, minimum  blood  Flow rate 50 ml/min,  maximum blood  Flow rate 180 ml/min, Clearence QB/QS  100 ml/min.</t>
  </si>
  <si>
    <t>Lama pentru dermatom sterile ( Watson - autor)</t>
  </si>
  <si>
    <t>Lamă sterilă pentru dermatom(( Watson - autor) de unică folosință, ambalate câte una.</t>
  </si>
  <si>
    <t>Linie de transfuzie</t>
  </si>
  <si>
    <t>Linie de transfuzie de unică folosință compatibilă cu încălzitorul de sînge și infuzii BW685 aflat în dotare. Echipată cu conexiune Luer- Lock, port de injecție. Lungimea minimă 460 cm. Diam 3/4.1. Steril. Cutie de 100 Bucată Donație Jayka</t>
  </si>
  <si>
    <t>Manjetă 0,22 cu cameră pentru tensiometru</t>
  </si>
  <si>
    <t>Omniset kit 1,6 MP Plus, Omni Bbraun</t>
  </si>
  <si>
    <t>Kit terapii CRRT (Omniset Kit) - Kit integrat de unică folosință p/u procedura de hemodiafiltrare veno-venoasă continuă; Circuit integrat, inclusiv hemofiltru, cu suprafața între 1,2m² și 1,6m²; Totate conexiunile circuitului, inclusiv cu pungile de dializat, lichide de substituție, primer, efluent,  dispun de cleme și conectoare de tip Luer-Lock; Circuitul arterial și cel venos dispune de porturi de injectare atât pe linie arterială, cât și pe linie venoasă; Circuitul dispune de 5 filtre cu pori 2µm p/u protejarea senzorului de presiune al dispozitivului; Circuitul dispune de 1 pungă de încălzitor și 1 pungă de colectare p/u priming, cu volum de 2000ml cu conector Luer-Lock și cleme</t>
  </si>
  <si>
    <t>Omniset kit pentru Bbraun Avitum AG, Germania</t>
  </si>
  <si>
    <t>Setul alcătuit din segmente de tubulatură, linii şi camere de de aerare, precum şi filtru, montate pe o placă, total preconectate. Kitul contine: - Linie arterială cu linii auxiliare pentru heparină şi citrat - Linie venoasă cu linie auxiliară pentru infuzia calciului şi punga cu volum de minim 2 L pentru soluția de clătire - Linie pentru soluția de dializat, dotată cu punga de încălzire - Linie de substituție - Linie de evacuare - 1 pungă effluent cu volum de 7 L - Filtru cu membrana din DIAPES - 5 filtre pentru protecția porturilor de presiune 
Kitul trebuie să fie destinat tuturor terapiilor CRRT şi să fie disponibile în 3 variante de suprafeţe ale membranelor, cuprinse între 0,8mp şi 1,6 mp; Kitul permite un flux de sânge cuprins între 10 ml/min şi 500 ml/min Primingul setului se realizează cu maxim 1000ml ser</t>
  </si>
  <si>
    <t>Pachete pentru plasma pentru aparatul de dezghețare a plasmei</t>
  </si>
  <si>
    <t>Pachete de unică folosință, 34cmx16cm, care protejează plasma înghețată împotriva contaminarii și izolează în caz de spargere. Compatibile cu Helmer Scientific. Prezentarea mostrelor.</t>
  </si>
  <si>
    <t>Papilotom  tip 3  lumen, virf filiform</t>
  </si>
  <si>
    <t xml:space="preserve">Papilotom 3lumen, virf filiform7-8 mm radiopac, rotativ, cu sistem de fixare a ghidului,lungimea de taere15-20-25-30 mm(la solicitare), diametrul 1,9-2,5 mm, ungimea   200220 cmcm , cu două sau mai multe canale
 (contrastare+ghid)
</t>
  </si>
  <si>
    <t>Papilotom canular biluminar</t>
  </si>
  <si>
    <t>electrod de taiere arcuat 20- 30 mm, lungime nu mai mic de 2000 mm.</t>
  </si>
  <si>
    <t>Papilotom Tip 3Lumen, virf tip bila</t>
  </si>
  <si>
    <t>Papilotom Tip 3Lumen,rotativ,lungimea de taiere 20- 25  mm,partial izolat 15mm, port irgare, port  ghid de 0,35,diametru 5-6 Fr  (2-2,8 mm) ,lungimea cateter  2000-2020mm.</t>
  </si>
  <si>
    <t>Pare pentru electrozi cu 6 canale pentru adulți</t>
  </si>
  <si>
    <t>Pare pentru electrozi cu 6 canale pentru adulți 
Compatibile cu apatate ECG</t>
  </si>
  <si>
    <t>Pare pentru electrozi cu 6 canale pentru copii</t>
  </si>
  <si>
    <t>Pare pentru electrozi cu 6 canale pentru copii
Compatibile cu apatate ECG</t>
  </si>
  <si>
    <t>Perie de curatare pentru endoscop, diametru 1,6mm</t>
  </si>
  <si>
    <t>Perie de curatare pentru endoscop cu 2 capete lucratoare.Lungimea totala 2300mm,deametru total 1,6mm.Lungimea perii 20mm,deametru perii 3mm</t>
  </si>
  <si>
    <t>Perie de curatare pentru endoscop, diametru 1,8mm</t>
  </si>
  <si>
    <t>Perie de curatare pentru endoscop cu 2 capete.Lungimea totala 2300mm,deametru total 1,8 mm.Lungimea perii 20mm,deametru perii 5mm</t>
  </si>
  <si>
    <t>Perie de curățire pentru endoscop</t>
  </si>
  <si>
    <t>Cu 2 capete lucrătoare</t>
  </si>
  <si>
    <t>Piesa Bucala</t>
  </si>
  <si>
    <t>Piesa Bucala pentru endoscopie digestiva-adulti, cu fixator si conecsiune pentru tubul de oxigen</t>
  </si>
  <si>
    <t xml:space="preserve">Piesa Bucala din plastic in care se introduce
 mustucul de hartie pentru 
spirometru BTL 08 SPIRO </t>
  </si>
  <si>
    <t xml:space="preserve">Piesa Bucala din plastic in care se introduce
 mustucul de hartie pentru 
spirometru BTL 08 SPIRO. Senzor spirometric reutilizabil cu o plasă de măsurare metalică în interior </t>
  </si>
  <si>
    <t>Pin de distribuire (echivalent cu Chemo Mini Spike Plus With Fluidfilter)</t>
  </si>
  <si>
    <t xml:space="preserve">Filtru antibacterian de 0,2 µm pecanalul de echilibrare a presiunilor.
Valvă integrată pentru prevenirea scurgerilor nedorite. Filtru antiparticule de 5 µm pe canalul active
</t>
  </si>
  <si>
    <t>Prelungitoare pentru sistem infuzie cu infusomat FMS</t>
  </si>
  <si>
    <t xml:space="preserve">Steril,aperogen,ne toxic,Sistem de prindere cu rotireindependentăfață de tub, 
rezistent la presiune (4 bari), lungime 150 cm, conectare „luer lock”, PVC, 
0,9 x 1,9 mm, priming 0,94 ml. conector la pacient de culoareverde transparent.
</t>
  </si>
  <si>
    <t>Prezervative pentru USG (
007101 )</t>
  </si>
  <si>
    <t>Prezervative pentru USG ( 007101 ), Prezervative,
p/u USG lungimea prezervativului 200 mm (±10mm),
fară lubrifiant, latex, non
-alergic, ambalaj individual cu
indicarea termenului de valabilitate., Bucată</t>
  </si>
  <si>
    <t>pret est 2026  2,05</t>
  </si>
  <si>
    <t>Proba argon pentru colonoscopie / gastroscopie</t>
  </si>
  <si>
    <t>proba argon-plasma pentru colonoscopie diametru 2,8-3,2 mm compatibila cu coagulatorul   "Lamiday Noury" aflat in dotare</t>
  </si>
  <si>
    <t>Robinet triderectional</t>
  </si>
  <si>
    <t>Robineţi infuzional cu trei căi (albastru, galben, rosu),360° pentruinfuzia de lungadurata cu infuzomat FMS administrarea tratament parenteral infuziei.Fara latex.</t>
  </si>
  <si>
    <t xml:space="preserve">Saltea pentru încălzire pacientului  </t>
  </si>
  <si>
    <t xml:space="preserve">Saltea pentru încălzire, amplasată sub pacient prin flux de aer cald, de unică folosință, cu dimensiunile (190-200 cm X 100-110cm), să distribuie fluxul de aer uniform pe toată suprafața, gaura de conexiune compatibilă cu dispozitivul aflat în dotare WarmAir® Convective Warming </t>
  </si>
  <si>
    <t>Saltea pentru încălzire, amplasată deasupra pacientului prin flux de aer cald, de unică folosință, cu dimensiunile (220-240cm X 110-130cm), să distribuie fluxul de aer uniform pe toată suprafața, gaura de conexiune compatibilă cu dispozitivul aflat în dotare WarmAir® Convective Warming</t>
  </si>
  <si>
    <t>Sensor BIS</t>
  </si>
  <si>
    <t>Senzor de unică folosință compatibil cu modulul BIS LoC 2 Channel pentru sistemele de monitorizare a pacienților concepute pentru a evalua adâncimea anesteziei pe baza analizei semnalelor EEG și a calculului indicelui bispectral (BIS). Senzor de unică folosință cu conector pentru conectarea la un monitor și 4 electrozi EEG adezivi (argint/clorură de argint) bazați pe tehnologia Zipper®. Un cip de computer încorporat în conectorul senzorului pentru a controla numărul de conexiuni la monitor.REF:186-0106. (Cutie cu 25 Bucatăati) Donație Jayka</t>
  </si>
  <si>
    <t>Senzor de flux  pentru ventilator Hamilton C2 (10 in set)</t>
  </si>
  <si>
    <t>Senzor de flux  pentru ventilator Hamilton C2 (10 in set) echivalent cu PN:281637</t>
  </si>
  <si>
    <t>Rg01-6182 modificarea pretului si specificatiei</t>
  </si>
  <si>
    <t>pret est din baza 31,34</t>
  </si>
  <si>
    <t>Senzor de O2 pentru ventilator Hamilton C2</t>
  </si>
  <si>
    <t>Senzor de  O2 pentru ventilator Hamilton C2 echivalent cu PN:396200</t>
  </si>
  <si>
    <t>pret est din baza 23,63</t>
  </si>
  <si>
    <t>Senzori pentru monitorizare glicemica continua CGM</t>
  </si>
  <si>
    <t>Existența certificatelor care atestă calitatea; 
Specificațiile Transmițătorului: Distanța de Comunicare wireless: 6- 10; Conectarea cu ≥2 aparținători; Specificațiile sensorului de glucoză: Intervalul Glicemic: 2,5~22,0 mmol/L; Durata de viață a Senzorului: până la 14 zile
La achiziționarea a 120 sensori, oferirea a 5  transmițători cu titlu gratuit.</t>
  </si>
  <si>
    <t>Set colbe pentru onjectomat CT</t>
  </si>
  <si>
    <t>steril,   in set vor fi incluse doua seringi cu volum - 200 ml, tub de conectare tip   Y, 1 vârf ascuțit lung, 1 vârf, comp., compatibil cu injectomat MEDRAD Stellant</t>
  </si>
  <si>
    <t>Set colbe seringi CT
comparativ cu injectomat
Nemoto Dual Shot Alpha 7</t>
  </si>
  <si>
    <t xml:space="preserve">Echivalent cu TM0539AC 200ml
+100 ml Syringes W60’’ coiled Line
Y Tube (1 CV)&amp; 2SP
Set contine/Bucată: - Seringa 200 ml - Seringa 100ml - Tub spiralat - Spike </t>
  </si>
  <si>
    <t>Set de administrare intravenoasă  (echivalent cu Infusomat Space Tubing Transfuzion)</t>
  </si>
  <si>
    <t>Sisteme pentru transfuzia singelui cu infuzomat FMS, cu filtru de 200 μm, tub calibrat de silicon, rezistent la presiune. PVC - free. Lungimea 250 cm.</t>
  </si>
  <si>
    <t>Set de administrare intravenoasă (echivalent cu Infusomat Space Line Standard)</t>
  </si>
  <si>
    <t>Sisteme pentru infuzia lichidilor, preparatelor citostatice cu infuzomate FMS,non stop 24-48 ore. Tub de silicon, rezistent la presiune. PVC - free. Lungimea 300 cm.</t>
  </si>
  <si>
    <t>Set de huse pentru sonda intracavitară (transesofagiană)</t>
  </si>
  <si>
    <t>1. Steril; 2. Din poliuretan; 3. Dimensiunea 25-32/11-16/1000mm; 4. Componența setului: 1 husă pentru sonda transesofagiană, 1 piesă Bucatăală, 1 seringă gel, 1 dispozitiv de blocare</t>
  </si>
  <si>
    <t xml:space="preserve">Set de tuburi flexibili steril (REF Z0449-01) </t>
  </si>
  <si>
    <t>Set de tuburi flexibili steril ( echivalent REF Z0449-01) 
 pentru aparat endoscopic MGB HF 4000 L (aspirator)</t>
  </si>
  <si>
    <t>Set electrozi ECG 4 cleste + 6 pare (adult), reutilizabil,  FAZINI  600 A</t>
  </si>
  <si>
    <t>1. Parte activa a electrodului din Ag/AgCl, 2. set electrozi 4 tip clește (roșu, glaben, verde, negru) + 6 tip pare, 3. tip pacient adult, 4. compatibil cu FAZINI  600 A</t>
  </si>
  <si>
    <t>Set Injector substanta de contrast</t>
  </si>
  <si>
    <t>1setcontine: seringa 200 ml, seringa 100ml,tub spiralat,spike,W/60</t>
  </si>
  <si>
    <t>Set Level 1 pentru incalzirea solutiilor</t>
  </si>
  <si>
    <t>Set de încălzire a fluidului (singe și lichide), fără orificiu de injecție (FĂRĂ LATEX). Set produs compatibil cu dispozitivul  HOTLINE® Fluid Warmer Level 1, furnizează fluid normotermic la debite normale. Menține temperatura sângelui și fluidelor între 37-42°C, furnizând fluide calde pacientului la debite de până la 5000 ml/h</t>
  </si>
  <si>
    <t>Set Level 1 pentru infuzie rapidă</t>
  </si>
  <si>
    <t xml:space="preserve">Set incalzire si administare fluide, set produs compatibil cu dispozitivul Level 1® H-1200. Fast Flow Fluid Warmer with Integrated Air Detector/Clamp de Smiths Medical , care să corespundă vitezei de infuzie de la 950 pînă la 1400 ml pe minută  </t>
  </si>
  <si>
    <t>Set seringă pentru substanța de contrast, pentru injectomat</t>
  </si>
  <si>
    <t xml:space="preserve">Compatibil cu NEMOTO Dual Shot
Componența minima a setului: 
Seringa 200 ml+100ml
Tub Spiralat in forma Y, lungimea 150 cm, 300 psi
</t>
  </si>
  <si>
    <t>Set Y cu linie de extensie</t>
  </si>
  <si>
    <t>Set echivalent cu ref 00240-00 de la HAEMONETICS (Set de Call Sever)</t>
  </si>
  <si>
    <t xml:space="preserve">Sfere optice jetabile pentru sistemul de neuronavigatie </t>
  </si>
  <si>
    <t>Sfere optice jetabile pentru sistemul de neuronavigatie. Compatibile cu echipamentul  BrainLab Cuve.</t>
  </si>
  <si>
    <t>Sistem pentru Hidrocolonoterapie pentru aparatul de colonoterapie, Large</t>
  </si>
  <si>
    <t>Canulă mare (Large), obturator, furtun irigator  1500mm/59'', furtun de evacuare 1300mm/517. Compatibil cu HAB Herrmann Colon Hydromat. Prezentarea mostrelor.</t>
  </si>
  <si>
    <t>Sistem recipient pu
acumularea eliminarilor
biologice din plaga 800 ml</t>
  </si>
  <si>
    <t>Sistem recipient pu acumularea
eliminarilor biologice din plaga 800 m
Polyvac set vol 800 ml</t>
  </si>
  <si>
    <t>Sisteme de infuzie a lichidelor pina la 48 h (compatibil cu infuzomatul din dotare BBraun)</t>
  </si>
  <si>
    <t xml:space="preserve">Tub calibrat
Nu contine latex 
Rezistent la presiune (2 bari)
Lungimea tubului 240-310 cm
Steril
Compatibil cu Infusomat Compact Plus           </t>
  </si>
  <si>
    <t>Soluție bicarbonat sterilă 2mmoli/l Potassium</t>
  </si>
  <si>
    <t>Soluție concentrată de electroliți pe bază de bicarbonat pentru hemofiltrare
Soluția destinată terapiilor CRRT și fără lactat , 2 moli potasiu și o osmolaritate mai mare de 295mOsm/l.
Concentrația de bicarbonat cuprinsă între 34 și 36 mmoli/l, iar pH-ul soluției cuprins între 7-8. 
Ambalată în pungi de polietilenă, dublu compartimentate - electroliții și soluția tampon (punga de 5 litri).</t>
  </si>
  <si>
    <t>Soluție pe bază de poliexanidă și betaină, 1000ml</t>
  </si>
  <si>
    <t>Soluție pentru tratamentul plăgii arse, sterilă, incoloră, gata de utilizare.Ambalaj 1000 ml. Pentru irigarea și pregătirea patului plăgilor arse în vederea tratamentului ulterior.  Pentru curățarea și tratarea plăgilor acute și cronice, a arsurilor inclusivde gradul III-IV. Pe baza de betaină și polihexanidă (poliaminopropil biguanidă) toleranțăși biocompatibilitate crescută a produsului cu țesuturile. Se permite utilizarea pentru o perioada de până la 8 săptămâni după ce a fost deschis ambalajul  pentru prima dată. Să poată fi folosit la tratarea plăgiilor colonizate critic și /sau infectate. Să absorbă mirosurile neplăcute provenite din plagă. Certificat CE, ISO.</t>
  </si>
  <si>
    <t>litru</t>
  </si>
  <si>
    <t>Spray pentru micromotor               280053  KARL STORZ </t>
  </si>
  <si>
    <t>"Universal-Spray", livrat în seturi de 6 sticle a câte 500 ml fiecare, împreună cu un duză de pulverizare. Acest spray este utilizat pentru întreținerea și lubrifierea instrumentelor medicale, asigurând o funcționare optimă și prelungind durata de viață a acestora. Este compatibil cu diverse sisteme motorizate, precum UNIDRIVE® S III ENT și NEURO, fiind recomandat pentru lubrifierea pieselor de mână și a motoarelor de mare viteză. De asemenea, spray-ul este utilizat în reprocesarea pieselor de mână INTRA, asigurând o lubrifiere adecvată pentru o funcționare eficientă.</t>
  </si>
  <si>
    <t>Stainels moduls din metal 24x24</t>
  </si>
  <si>
    <t>Stainels moduls din metal 24x24
Certificat CE sau declaratie de conformitate în functie  de evaloarea conformitatii cu anexele corespunzatoare pentru produsul dat.Certificat ISO13485si /sau ISO9001(în dependenta de categorie produsului)</t>
  </si>
  <si>
    <t>buc</t>
  </si>
  <si>
    <t xml:space="preserve">Stetofonendoscop </t>
  </si>
  <si>
    <t>Teste și lancete pentru
măsurarea glicemiei</t>
  </si>
  <si>
    <t>500 Teste și 500 lancete pentru
măsurarea glicemiei compatibile cu
 glucometre oferite.
Operatorul economic va furniza
beneficiarului cel puțin 3
glucometre, cu titlu gratuit.</t>
  </si>
  <si>
    <t xml:space="preserve">70 000 Teste și 70 000 lancete pentru
măsurarea glicemiei compatibile cu
 glucometre oferite.
Operatorul economic va furniza
beneficiarului cel puțin 20
glucometre, cu titlu gratuit.
Corespunderea standardului actual de precizie a glucometrelor conform ISO 15197:2013; Codificare automată; </t>
  </si>
  <si>
    <t>10 000 Teste și 10 000 lancete pentru
măsurarea glicemiei compatibile cu
glucometre oferite.
Operatorul economic va furniza
beneficiarului cel puțin 20
glucometre, cu titlu gratuit.</t>
  </si>
  <si>
    <t xml:space="preserve">Teste și lancete pentru
măsurarea glicemiei
</t>
  </si>
  <si>
    <t>21000 Teste și 21000 lancete pentru
măsurarea glicemiei compatibile cu
 glucometre oferite.
Operatorul economic va furniza
beneficiarului cel puțin 100
glucometre, cu titlu gratuit.</t>
  </si>
  <si>
    <t>Lot cu 3 poziții (25 000 era pentru glucometre)</t>
  </si>
  <si>
    <t>Teste și lancete pentru
măsurarea glicemiei, Accu Chek Instant sau echivalent</t>
  </si>
  <si>
    <t>600 Teste și 600 lancete pentru
măsurarea glicemiei
compatibile cu glucometrul 
Accu Chek Instant
sau
Teste pentru măsurarea glicemiei
măsurarea glicemiei compatibile cu
alte tipuri de glucometre.
Operatorul economic va furniza
beneficiarului cel puțin 4 glucometre,
cu titlu gratuit</t>
  </si>
  <si>
    <t>SR Straseni, 628 din 16.09.2025</t>
  </si>
  <si>
    <t>7500 Teste și 7500 lancete pentru
măsurarea glicemiei compatibile cu
 glucometre oferite.
Operatorul economic va furniza
beneficiarului cel puțin 15
glucometre, cu titlu gratuit.</t>
  </si>
  <si>
    <t>Teste și lancete pentru
măsurarea glicemiei, Clever Chek TD-4302, TD-5084 sau echivalent</t>
  </si>
  <si>
    <t>2500 Teste și 2500 lancete pentru
măsurarea glicemiei
compatibile cu glucometrul 
Clever Chek TD-4302, TD-5084
sau
Teste pentru măsurarea glicemiei
măsurarea glicemiei compatibile cu
alte tipuri de glucometre.
Operatorul economic va furniza
beneficiarului cel puțin 13 glucometre,
cu titlu gratuit</t>
  </si>
  <si>
    <t>Teste și lancete pentru
măsurarea glicemiei, Clever sau echivalent</t>
  </si>
  <si>
    <t>3000 Teste și 3000 lancete pentru
măsurarea glicemiei compatibile cu
 glucometre oferite.
Operatorul economic va furniza
beneficiarului cel puțin 6
glucometre, cu titlu gratuit.</t>
  </si>
  <si>
    <t>Teste și lancete pentru
măsurarea glicemiei, VivaChek sau echivalent</t>
  </si>
  <si>
    <t>5000 Teste și 5000 lancete pentru
măsurarea glicemiei
compatibile cu glucometrul 
VivaChek
sau
5000 Teste și 5000 lancete pentru
măsurarea glicemiei compatibile cu
 glucometre oferite.
Operatorul economic va furniza
beneficiarului cel puțin 7
glucometre, cu titlu gratuit.</t>
  </si>
  <si>
    <t>Test-indicator sterilizare 132°/ 20 min  extern</t>
  </si>
  <si>
    <t>Indicator p/u controlul calităţii sterilizării la 132 grade 20 min. Intern, nr. de până la 1000 teste pe bază adezivă, clasa 4, cu virarea culorii indicatorului. Termen de valabilitate nu mai puțin de 24 luni, instrucțiune de utilizare în limba romană cu registru.</t>
  </si>
  <si>
    <t>test</t>
  </si>
  <si>
    <t>Test-indicator sterilizare 132°/ 20 min  intern</t>
  </si>
  <si>
    <t>Test-indicator sterilizare 180° intern</t>
  </si>
  <si>
    <t xml:space="preserve">Indicator p/u controlul calităţii sterilizării la 180 grade . Intern, nr.de până la 1000 teste pe bază adezivă, clasa 4, cu virarea culorii indicatorului. Termen de valabilitate nu mai puțin de 24 luni, instrucțiune de utilizare în limba romană cu registru.  </t>
  </si>
  <si>
    <t>Test-indicator sterilizare
134°/ 20 min Universal și
Registru Test
-indicator sterilizare
134°/ 20 min Universal ( 007151 )</t>
  </si>
  <si>
    <t>Test-indicator sterilizare
134°/ 20 min Universal și
Registru Test
-indicator sterilizare
134°/ 20 min Universal), Indicator p/u controlul calităţii
sterilizării la 134 grade 20 min. Universal, nr. de până la
1000 teste pe bază adezivă, clasa 4, cu virarea culorii
indicatorului. Termen de valabilitate nu mai puțin de 24
luni, instrucțiune de utilizare în limba romană cu
registru., Test</t>
  </si>
  <si>
    <t>Test</t>
  </si>
  <si>
    <t>pret est 2026  0,28</t>
  </si>
  <si>
    <t>Transducer Kit - Kit pentru modulul IBP  ( set kit arterial)</t>
  </si>
  <si>
    <t>Caracteristici:                                                                                                                                                             Tranducer Kit, Material cablu PVC Jacket, Categorie IBP, Conector Distal- BD Connector, culoare furtun transparent, material furtun - PVC, mărimea furtunului pentru pacient adult. Compatibil cu monitor EDAN  iM6010.4* Touchscreen, monitor Myndrai, Lowenstein, Nihon, Philips, General Electric BT 450. Donație Jayka.</t>
  </si>
  <si>
    <t>Tub de extensie cu conector tip Yde înaltă presiune pentru furnizarea substanței de contrast.</t>
  </si>
  <si>
    <t>Tub de extensie cu conector tip Y cu 2 valve pentru injectomate; capace de protectie la capete, prevazut cu Luer Lock; de înaltă presiune (300 PSI); pentru a furniza substanțe de contrast. Lungimea minim 150cm. Unica folosință. Compatibil cu Nemoto DUAL SHOT alpha7.</t>
  </si>
  <si>
    <t>Tuburi  pentru irigator
EGA-500E</t>
  </si>
  <si>
    <t xml:space="preserve">Tuburi  de irigare compatibile cu pompa Endostartus </t>
  </si>
  <si>
    <t>Tuburi conectoare pentru set seringa, injectomat</t>
  </si>
  <si>
    <t>Tub spiralat in forma Y 150 cm, 300 psi</t>
  </si>
  <si>
    <t>Valve de biopsie</t>
  </si>
  <si>
    <t>Vas pentru aspirație la aspirator KV-5</t>
  </si>
  <si>
    <t>Vas pentru aspirator   vol .min 2 l , compatibil cu aspirator KV5</t>
  </si>
  <si>
    <t>Oxigenator pentru ECMO neonatal plus  cu setul standart de tubulatura compatibila cu pompa Rotaflow</t>
  </si>
  <si>
    <t>Debit volum maxim (l / min.)   -   Nu mai mic 1,5
Durata lucrului   -  30 zile
compatibil cu Rotaflow</t>
  </si>
  <si>
    <t>De la Aurelia Beneficiar IMSP SCR demersul din 30.05.2025</t>
  </si>
  <si>
    <t>Oxigenator pentru ECMO pediatric  cu setul standart de tubulatura compatibila cu pompa Rotaflow</t>
  </si>
  <si>
    <t>Debit volum maxim (l / min.)   -   Nu mai mic de 3 l/min. durata de lucru 30 zile  compatibil cu pampa Rotafow (procurate conform necesitatile institutiei0</t>
  </si>
  <si>
    <t>De la Aurelia Beneficiar IMSP SCR demersul din 30.05.2026</t>
  </si>
  <si>
    <t>Set  consumabile pentru plasmafereza la aparatul Nigale</t>
  </si>
  <si>
    <t>Sistema de uz unic, tubulaturile de conexiune la soluţia NaCl şi soluţia anticoagulantă fiind asigurate cu clame;
-ac tip 16 G, cu fisura laterală:lungimea acului nu mai mica de 3 cm.
ü integrat în sistemul închis şi steril al tubulaturii de recoltare; la portiunea de conexiune a acului cu setul clama si o distanta de 10 cm,
ü asigurat cu clama  la punga de plasma.
amplasat pe tubulatura de recoltare pînă la ramificarea racordului Y. lungimea acestui tub nu mai mica de 60 cm.  
• Sistemul de capisonare a acului post-donare cu utilizare ulterioară inofensivă – obligatoriu prezent                                                           Linia pentru separarea plasme sa nu fie mai scurta de 80 cm de la bol- centrifuga.de la  ramificarea racordului Y pana la punga de plasma nu mai scurt de 60 cm
• Bol-centrifugă pentru colectarea sângelui transparent;
• Soluţie anticoagulantă – conţinut de citrat de natriu  4%, steril, apirogen,volum de 250 ml, în recipient de plastic,  asigurat cu element ce va permite fixarea recipientului în suport.
• Container dublu pentru colectarea plasmei în volum 1000 ml, adaptat pentru fixarea la bol şi cu ac polimer pentru conectarea la recipientul din plastic cu soluţie NaCl; compatibile cu aparatul Nigale.(solicitate conform necesitatilor reale a institutiei)</t>
  </si>
  <si>
    <t>De la Aurelia Beneficiar IMSP SCR demersul din 30.05.2027</t>
  </si>
  <si>
    <t>400 Teste și 400 lancete pentru
măsurarea glicemiei
compatibile cu glucometrul 
Accu Chek Instant
sau
Teste pentru măsurarea glicemiei
măsurarea glicemiei compatibile cu
alte tipuri de glucometre.
Operatorul economic va furniza
beneficiarului cel puțin 4 glucometre,
cu titlu gratuit</t>
  </si>
  <si>
    <t>Rg01-4039 din 02.07.2025</t>
  </si>
  <si>
    <t>Film radiologic 35 x 43 cm
(14 x 17 inch) compatibil cu
DryPro 832 ( 006992 )</t>
  </si>
  <si>
    <t>Film radiologic 35 x 43 cm (14 x 17 inch)
compatibil cu DryPro 832 ( 006992 ), Film radiologic 35
x 43 cm (14 x 17 inch)
ambalaj până la 125 bucăți în cutie
compatibil cu DryPro 832,Konica Minolta, Bucată</t>
  </si>
  <si>
    <t>Rg01-6616 din 06.10.2025/pret estim din centralizata 2026</t>
  </si>
  <si>
    <t>Film radiologic 20 x 25 cm
(8 x 10 inch) compatibil cu
DryPro ( 006994 )</t>
  </si>
  <si>
    <t>Film radiologic 20 x 25 cm (8 x 10 inch)
compatibil cu DryPro ( 006994 ), Film radiologic 20 x
25 cm (8 x 10 inch)
ambalaj până la 125 bucăți în cutie
compatibil cu DryPro,Konica Minolta, Bucată</t>
  </si>
  <si>
    <t>Rg01-6616 din 06.10.2025/pret estim din scrisoare</t>
  </si>
  <si>
    <t>Conector respirator gofrat  ( 002959 )</t>
  </si>
  <si>
    <t>Conector respirator gofrat</t>
  </si>
  <si>
    <t>Conector respirator gofrat, adaptor între tubul endotraheal și circuitul de respirație mecanică, 15mm (plug dad) x 22mm (plug mum)</t>
  </si>
  <si>
    <t>Mască Nebulizer  ( 003089 )</t>
  </si>
  <si>
    <t>Mască Nebulizer</t>
  </si>
  <si>
    <t>Cu cameră speciala conceputa cu rata de nebulizare aproximativ 3 ml-10min, dimensiunea medie a particulelor 2 microni -kit complet format din Mască-nebulizator, cameră nebulizator și tub de 200cm (±10cm)</t>
  </si>
  <si>
    <t>Mască Nebulizer pediatrică  ( 003090 )</t>
  </si>
  <si>
    <t>Mască Nebulizer pediatrică</t>
  </si>
  <si>
    <t xml:space="preserve">Pediatrică, dimensiunea medie a particulelor 3.1 microni, Kit complet format din Mască-nebulizator, cameră nebulizator și tub, model de referință - Cirrus 2 - Intersurgical. </t>
  </si>
  <si>
    <t>Piesa Y-conector rotativ cu capac de aspirație  ( 003161 )</t>
  </si>
  <si>
    <t>Piesa Y-conector rotativ cu capac de aspirație</t>
  </si>
  <si>
    <t>Piesa Y-conector rotativ cu capac de aspirație siliconat, pentru bronhoscop adult utilizată pentru conectarea la circuitul respirației mecanice și tub de intubare</t>
  </si>
  <si>
    <t>Set de tuburi pentru ventilatoare (contururi) - reutilizabil  ( 003334 )</t>
  </si>
  <si>
    <t>Set de tuburi pentru ventilatoare (contururi) - reutilizabil</t>
  </si>
  <si>
    <t>Pentru adulți –reutilizabile, rezistent la autoclavare, gofrat, tip “inspire-expire”, cu captatori de vapori expirați.
Completare:1) Sac de rezervă 2l, 
2) Conector unghiular, rotativ, biaxial. Lungime 180cm (±10cm)</t>
  </si>
  <si>
    <t>Set de tuburi pentru ventilatoare (contururi), neonatali  ( 003335 )</t>
  </si>
  <si>
    <t>Set de tuburi pentru ventilatoare (contururi), neonatali</t>
  </si>
  <si>
    <t xml:space="preserve">Neonatali, circuite cu inspirație de aer încălzit și flux bidirecțional cu d = 15mm; calități: Transparent, gofrat, tip ”inspir-expir”, Completarea cu: 1) sac de rezervă 0, 5-1,0 l, 2)cu conector unghiular, rotație biaxială, Lungime 150-180cm, Cu fir/sensor de temperatura în tubul de inspir: Steril. Ambalat individual </t>
  </si>
  <si>
    <t>Set de tuburi pentru ventilatoare (contururi), pediatrice  ( 003336 )</t>
  </si>
  <si>
    <t>Set de tuburi pentru ventilatoare (contururi), pediatrice</t>
  </si>
  <si>
    <t>Pediatrice, circuite cu inspirație de aer încălzit și flux bidirecțional cu d = 15mm; calități: Transparent, gofrat, tip ”inspir-expir”, Completarea cu: 1) sac de rezervă 0, 5-1,0 l, 2)cu conector unghiular, rotație biaxială, Lungime 150-180cm, Cu fir/sensor de temperatura în tubul de inspir: Steril. Ambalat individual</t>
  </si>
  <si>
    <t>Set tuburi gofrate pentru aparat de ventilare Set tuburi gofrate pentru aparat de ventilare 150cm ( 003443 )</t>
  </si>
  <si>
    <t>Set tuburi gofrate pentru aparat de ventilare 150cm</t>
  </si>
  <si>
    <t>Tubulatura gofrate Aparat de ventilare
1. Cu sac (colector) pentru O2, 2 litri
2. Fără miros
3. Piesa Y
4. Conector în genunchi cu adaptor Luer-lock pentru controlul concentrație CO2
5. Lungimea minima 150cm (±10cm)
6. Conector standard cu ventilator și Sondă de intubare 15mm și 22mm
7. Ambalat steril, individual</t>
  </si>
  <si>
    <t>Set tuburi gofrate pentru aparat de ventilare Set tuburi gofrate pentru aparat de ventilare 50m ( 003444 )</t>
  </si>
  <si>
    <t>Set tuburi gofrate pentru aparat de ventilare 50m</t>
  </si>
  <si>
    <t xml:space="preserve">Set circuit respirație (p-u aparat de respirație artificială) (sifon inspirație, sifon expirație, cu port CO2, Y-configurație cu 8 conectori, tub neted alezaj L minimă =1, 50m, cu conectoare, sac) Steril. Ambalat individual </t>
  </si>
  <si>
    <t>Set tuburi gofrate pentru aparat de anestezie  ( 003445 )</t>
  </si>
  <si>
    <t>Set tuburi gofrate pentru aparat de anestezie</t>
  </si>
  <si>
    <t>Circuit de respirație, Compact II sau echivalent, pentru conectarea pacientului la aparatul de anestezie și ventilator; Reversibil, configurabil, pliant, extensibil, pentru adulți; Diametrul 22mm; Lungimea circuitului de pana la 2,0m în stare întinsă; tub suplimentar 1,5m; sac 2L; adaptor unghiular biaxial cu un port luer, cu capac la tubul endotraheal; conexiune adaptorului 22M/15F; conexiunea furtunurilor 22F; Material- polipropilenă, polietilena, elastomer, fără latex; Ambalaj individual; Steril.</t>
  </si>
  <si>
    <t>Tub de conexiune la sacul pentru aparatele de intubare Tub de conexiune la sacul pentru aparatele de intubare 24FR ( 003594 )</t>
  </si>
  <si>
    <t>Tub de conexiune la sacul pentru aparatele de intubare 24FR</t>
  </si>
  <si>
    <t>Tub de conexiune la sacul pentru aparatele de intubare 24FR. Siliconat, Bucată - 1 metru</t>
  </si>
  <si>
    <t>Tub de conexiune la sacul pentru aparatele de intubare Tub de conexiune la sacul pentru aparatele de intubare 26FR ( 003595 )</t>
  </si>
  <si>
    <t>Tub de conexiune la sacul pentru aparatele de intubare 26FR</t>
  </si>
  <si>
    <t>Tub de conexiune la sacul pentru aparatele de intubare 26FR. Siliconat, Bucată - 1 metru</t>
  </si>
  <si>
    <t>Tub de conexiune la sacul pentru aparatele de intubare Tub de conexiune la sacul pentru aparatele de intubare 28FR ( 003596 )</t>
  </si>
  <si>
    <t>Tub de conexiune la sacul pentru aparatele de intubare 28FR</t>
  </si>
  <si>
    <t>Tub de conexiune la sacul pentru aparatele de intubare 28FR. Siliconat, Bucată - 1 metru</t>
  </si>
  <si>
    <t>site</t>
  </si>
  <si>
    <t>https://achizitii.md/ro/public/tender/21487715/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</si>
</sst>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Red]0.00"/>
    <numFmt numFmtId="166" formatCode="_(* #,##0.00_);_(* \(#,##0.00\);_(* &quot;-&quot;??_);_(@_)"/>
  </numFmts>
  <fonts count="25" x14ac:knownFonts="1">
    <font>
      <sz val="11"/>
      <color theme="1"/>
      <name val="Calibri"/>
      <family val="2"/>
      <scheme val="minor"/>
    </font>
    <font>
      <sz val="11"/>
      <color theme="1"/>
      <name val="Calibri"/>
      <family val="2"/>
      <scheme val="minor"/>
    </font>
    <font>
      <b/>
      <sz val="11"/>
      <color theme="1"/>
      <name val="Times New Roman"/>
      <family val="1"/>
    </font>
    <font>
      <sz val="10"/>
      <name val="Arial"/>
      <family val="2"/>
    </font>
    <font>
      <b/>
      <sz val="11"/>
      <color indexed="8"/>
      <name val="Times New Roman"/>
      <family val="1"/>
      <charset val="204"/>
    </font>
    <font>
      <b/>
      <sz val="11"/>
      <color theme="1"/>
      <name val="Times New Roman"/>
      <family val="1"/>
      <charset val="204"/>
    </font>
    <font>
      <sz val="11"/>
      <name val="Times New Roman"/>
      <family val="1"/>
    </font>
    <font>
      <sz val="11"/>
      <color theme="1"/>
      <name val="Times New Roman"/>
      <family val="1"/>
    </font>
    <font>
      <sz val="11"/>
      <color rgb="FFFF0000"/>
      <name val="Times New Roman"/>
      <family val="1"/>
    </font>
    <font>
      <sz val="11"/>
      <name val="Times New Roman"/>
      <family val="1"/>
      <charset val="204"/>
    </font>
    <font>
      <sz val="11"/>
      <color theme="1"/>
      <name val="Times New Roman"/>
      <family val="1"/>
      <charset val="204"/>
    </font>
    <font>
      <sz val="10"/>
      <name val="Times New Roman"/>
      <family val="1"/>
      <charset val="204"/>
    </font>
    <font>
      <sz val="12"/>
      <color indexed="8"/>
      <name val="Times New Roman"/>
      <family val="1"/>
      <charset val="204"/>
    </font>
    <font>
      <sz val="10"/>
      <color theme="1"/>
      <name val="Times New Roman"/>
      <family val="1"/>
      <charset val="204"/>
    </font>
    <font>
      <sz val="12"/>
      <name val="Times New Roman"/>
      <family val="1"/>
      <charset val="204"/>
    </font>
    <font>
      <sz val="11"/>
      <color rgb="FF000000"/>
      <name val="Times New Roman"/>
      <family val="1"/>
    </font>
    <font>
      <sz val="12"/>
      <color theme="1"/>
      <name val="Times New Roman"/>
      <family val="1"/>
      <charset val="204"/>
    </font>
    <font>
      <strike/>
      <sz val="11"/>
      <color theme="1"/>
      <name val="Times New Roman"/>
      <family val="1"/>
    </font>
    <font>
      <sz val="11"/>
      <color indexed="8"/>
      <name val="Times New Roman"/>
      <family val="1"/>
    </font>
    <font>
      <sz val="9"/>
      <name val="Times New Roman"/>
      <family val="1"/>
    </font>
    <font>
      <sz val="11"/>
      <color indexed="8"/>
      <name val="Times New Roman"/>
      <family val="1"/>
      <charset val="204"/>
    </font>
    <font>
      <sz val="12"/>
      <color indexed="8"/>
      <name val="Times New Roman"/>
      <family val="1"/>
    </font>
    <font>
      <sz val="12"/>
      <name val="Times New Roman"/>
      <family val="1"/>
    </font>
    <font>
      <sz val="11"/>
      <color rgb="FF000000"/>
      <name val="Times New Roman"/>
      <family val="1"/>
      <charset val="204"/>
    </font>
    <font>
      <u/>
      <sz val="11"/>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166" fontId="1" fillId="0" borderId="0" applyFont="0" applyFill="0" applyBorder="0" applyAlignment="0" applyProtection="0"/>
    <xf numFmtId="0" fontId="3" fillId="0" borderId="0"/>
    <xf numFmtId="0" fontId="24" fillId="0" borderId="0" applyNumberFormat="0" applyFill="0" applyBorder="0" applyAlignment="0" applyProtection="0"/>
  </cellStyleXfs>
  <cellXfs count="99">
    <xf numFmtId="0" fontId="0" fillId="0" borderId="0" xfId="0"/>
    <xf numFmtId="0" fontId="4" fillId="2" borderId="1" xfId="2" applyFont="1" applyFill="1" applyBorder="1" applyAlignment="1">
      <alignment horizontal="center" vertical="center" wrapText="1"/>
    </xf>
    <xf numFmtId="0" fontId="5" fillId="2" borderId="1" xfId="0" applyFont="1" applyFill="1" applyBorder="1" applyAlignment="1">
      <alignment wrapText="1"/>
    </xf>
    <xf numFmtId="0" fontId="2" fillId="3" borderId="1" xfId="0" applyFont="1" applyFill="1" applyBorder="1" applyAlignment="1">
      <alignment horizontal="center" vertical="center" wrapText="1"/>
    </xf>
    <xf numFmtId="0" fontId="0" fillId="3" borderId="1" xfId="0" applyFill="1" applyBorder="1" applyAlignment="1">
      <alignment wrapText="1"/>
    </xf>
    <xf numFmtId="0" fontId="2" fillId="3" borderId="1" xfId="0" applyFont="1" applyFill="1" applyBorder="1" applyAlignment="1">
      <alignment vertical="center" wrapText="1"/>
    </xf>
    <xf numFmtId="0" fontId="6" fillId="3" borderId="1" xfId="2" applyFont="1" applyFill="1" applyBorder="1" applyAlignment="1" applyProtection="1">
      <alignment horizontal="center" vertical="center" wrapText="1"/>
      <protection locked="0"/>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1" xfId="0" applyFont="1" applyFill="1" applyBorder="1" applyAlignment="1">
      <alignment vertical="center" wrapText="1"/>
    </xf>
    <xf numFmtId="0" fontId="8"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8" fillId="3" borderId="1" xfId="0" applyFont="1" applyFill="1" applyBorder="1" applyAlignment="1">
      <alignment vertical="center" wrapText="1"/>
    </xf>
    <xf numFmtId="0" fontId="8" fillId="3" borderId="1" xfId="2" applyFont="1" applyFill="1" applyBorder="1" applyAlignment="1" applyProtection="1">
      <alignment horizontal="center" vertical="center" wrapText="1"/>
      <protection locked="0"/>
    </xf>
    <xf numFmtId="0" fontId="5" fillId="2" borderId="1" xfId="0" applyFont="1" applyFill="1" applyBorder="1" applyAlignment="1">
      <alignment horizontal="center" vertical="center" wrapText="1"/>
    </xf>
    <xf numFmtId="2" fontId="2"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4" fontId="5" fillId="2" borderId="1" xfId="0" applyNumberFormat="1" applyFont="1" applyFill="1" applyBorder="1" applyAlignment="1">
      <alignment horizontal="center" vertical="center" wrapText="1"/>
    </xf>
    <xf numFmtId="2"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7" fillId="0" borderId="0" xfId="0" applyFont="1" applyAlignment="1">
      <alignment vertical="center"/>
    </xf>
    <xf numFmtId="0" fontId="6" fillId="0" borderId="1" xfId="2" applyFont="1" applyBorder="1" applyAlignment="1" applyProtection="1">
      <alignment horizontal="center" vertical="center" wrapText="1"/>
      <protection locked="0"/>
    </xf>
    <xf numFmtId="0" fontId="6" fillId="0" borderId="1" xfId="2" applyFont="1" applyBorder="1" applyAlignment="1" applyProtection="1">
      <alignment horizontal="center" vertical="center"/>
      <protection locked="0"/>
    </xf>
    <xf numFmtId="0" fontId="9" fillId="0" borderId="1" xfId="2" applyFont="1" applyBorder="1" applyAlignment="1" applyProtection="1">
      <alignment horizontal="center" vertical="center"/>
      <protection locked="0"/>
    </xf>
    <xf numFmtId="0" fontId="6" fillId="0" borderId="1" xfId="2" applyFont="1" applyBorder="1" applyAlignment="1" applyProtection="1">
      <alignment horizontal="left" vertical="center" wrapText="1"/>
      <protection locked="0"/>
    </xf>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7" fillId="0" borderId="1" xfId="0" applyFont="1" applyBorder="1" applyAlignment="1">
      <alignment vertical="center"/>
    </xf>
    <xf numFmtId="0" fontId="6" fillId="0" borderId="1" xfId="2" applyFont="1" applyBorder="1" applyAlignment="1">
      <alignment horizontal="center" vertical="center"/>
    </xf>
    <xf numFmtId="0" fontId="10" fillId="0" borderId="1" xfId="0" applyFont="1" applyBorder="1" applyAlignment="1">
      <alignment horizontal="center" vertical="center" wrapText="1"/>
    </xf>
    <xf numFmtId="0" fontId="7" fillId="0" borderId="1" xfId="0" applyFont="1" applyBorder="1" applyAlignment="1">
      <alignment horizontal="left" vertical="center" wrapText="1"/>
    </xf>
    <xf numFmtId="2" fontId="7" fillId="0" borderId="1" xfId="0" applyNumberFormat="1" applyFont="1" applyBorder="1" applyAlignment="1">
      <alignment horizontal="center" vertical="center" wrapText="1"/>
    </xf>
    <xf numFmtId="2" fontId="7" fillId="0" borderId="1" xfId="0" applyNumberFormat="1" applyFont="1" applyBorder="1" applyAlignment="1">
      <alignment horizontal="center" vertical="center"/>
    </xf>
    <xf numFmtId="2" fontId="6" fillId="0" borderId="1" xfId="2" applyNumberFormat="1" applyFont="1" applyBorder="1" applyAlignment="1" applyProtection="1">
      <alignment horizontal="center" vertical="center"/>
      <protection locked="0"/>
    </xf>
    <xf numFmtId="2" fontId="7" fillId="0" borderId="1" xfId="0" applyNumberFormat="1" applyFont="1" applyBorder="1" applyAlignment="1">
      <alignment vertical="center" wrapText="1"/>
    </xf>
    <xf numFmtId="2" fontId="7" fillId="0" borderId="1" xfId="0" applyNumberFormat="1" applyFont="1" applyBorder="1" applyAlignment="1">
      <alignment vertical="center"/>
    </xf>
    <xf numFmtId="0" fontId="11" fillId="0" borderId="1" xfId="0" applyFont="1" applyBorder="1" applyAlignment="1">
      <alignment horizontal="center" vertical="center" wrapText="1"/>
    </xf>
    <xf numFmtId="1" fontId="12" fillId="0" borderId="1" xfId="0" applyNumberFormat="1" applyFont="1" applyBorder="1" applyAlignment="1" applyProtection="1">
      <alignment horizontal="center" vertical="center" wrapText="1"/>
      <protection hidden="1"/>
    </xf>
    <xf numFmtId="0" fontId="13" fillId="0" borderId="1" xfId="0" applyFont="1" applyBorder="1" applyAlignment="1">
      <alignment horizontal="center" vertical="center" wrapText="1"/>
    </xf>
    <xf numFmtId="0" fontId="9" fillId="0" borderId="1" xfId="2" applyFont="1" applyBorder="1" applyAlignment="1" applyProtection="1">
      <alignment horizontal="center" vertical="center" wrapText="1"/>
      <protection locked="0"/>
    </xf>
    <xf numFmtId="0" fontId="6" fillId="0" borderId="1" xfId="0" applyFont="1" applyBorder="1" applyAlignment="1">
      <alignment horizontal="center" vertical="center" wrapText="1"/>
    </xf>
    <xf numFmtId="4" fontId="14" fillId="0" borderId="1" xfId="2" applyNumberFormat="1" applyFont="1" applyBorder="1" applyAlignment="1" applyProtection="1">
      <alignment horizontal="center" vertical="center"/>
      <protection locked="0"/>
    </xf>
    <xf numFmtId="2" fontId="15" fillId="0" borderId="1" xfId="0" applyNumberFormat="1" applyFont="1" applyBorder="1" applyAlignment="1">
      <alignment horizontal="center" vertical="center" wrapText="1"/>
    </xf>
    <xf numFmtId="2" fontId="6" fillId="0" borderId="1" xfId="2" applyNumberFormat="1" applyFont="1" applyBorder="1" applyAlignment="1" applyProtection="1">
      <alignment horizontal="center" vertical="top"/>
      <protection locked="0"/>
    </xf>
    <xf numFmtId="2" fontId="11" fillId="0" borderId="1" xfId="0" applyNumberFormat="1" applyFont="1" applyBorder="1" applyAlignment="1">
      <alignment horizontal="center" vertical="center" wrapText="1"/>
    </xf>
    <xf numFmtId="1" fontId="16" fillId="0" borderId="1" xfId="0" applyNumberFormat="1" applyFont="1" applyBorder="1" applyAlignment="1">
      <alignment horizontal="center" vertical="center" wrapText="1"/>
    </xf>
    <xf numFmtId="1" fontId="14" fillId="0" borderId="1" xfId="2" applyNumberFormat="1" applyFont="1" applyBorder="1" applyAlignment="1" applyProtection="1">
      <alignment horizontal="center" vertical="center"/>
      <protection locked="0"/>
    </xf>
    <xf numFmtId="0" fontId="17" fillId="0" borderId="1" xfId="0" applyFont="1" applyBorder="1" applyAlignment="1">
      <alignment vertical="center"/>
    </xf>
    <xf numFmtId="0" fontId="17" fillId="0" borderId="1" xfId="0" applyFont="1" applyBorder="1" applyAlignment="1">
      <alignment horizontal="center" vertical="center"/>
    </xf>
    <xf numFmtId="2" fontId="18" fillId="0" borderId="1" xfId="0" applyNumberFormat="1" applyFont="1" applyBorder="1" applyAlignment="1" applyProtection="1">
      <alignment horizontal="center" vertical="center" wrapText="1"/>
      <protection hidden="1"/>
    </xf>
    <xf numFmtId="0" fontId="7" fillId="0" borderId="0" xfId="0" applyFont="1" applyAlignment="1">
      <alignment vertical="center" wrapText="1"/>
    </xf>
    <xf numFmtId="0" fontId="10" fillId="0" borderId="1" xfId="0" applyFont="1" applyBorder="1" applyAlignment="1">
      <alignment vertical="center" wrapText="1"/>
    </xf>
    <xf numFmtId="0" fontId="7" fillId="0" borderId="0" xfId="0" applyFont="1" applyAlignment="1">
      <alignment horizontal="center" vertical="center"/>
    </xf>
    <xf numFmtId="164" fontId="18" fillId="0" borderId="1" xfId="0" applyNumberFormat="1" applyFont="1" applyBorder="1" applyAlignment="1" applyProtection="1">
      <alignment horizontal="center" vertical="center" wrapText="1"/>
      <protection hidden="1"/>
    </xf>
    <xf numFmtId="165" fontId="19" fillId="0" borderId="1" xfId="2" applyNumberFormat="1" applyFont="1" applyBorder="1" applyAlignment="1" applyProtection="1">
      <alignment horizontal="right" vertical="center"/>
      <protection locked="0"/>
    </xf>
    <xf numFmtId="0" fontId="7" fillId="0" borderId="1" xfId="0" applyFont="1" applyBorder="1" applyAlignment="1">
      <alignment horizontal="center" vertical="center"/>
    </xf>
    <xf numFmtId="0" fontId="10" fillId="0" borderId="1" xfId="0" applyFont="1" applyBorder="1" applyAlignment="1">
      <alignment horizontal="center" vertical="center"/>
    </xf>
    <xf numFmtId="164" fontId="12" fillId="0" borderId="1" xfId="0" applyNumberFormat="1" applyFont="1" applyBorder="1" applyAlignment="1" applyProtection="1">
      <alignment horizontal="center" vertical="center"/>
      <protection hidden="1"/>
    </xf>
    <xf numFmtId="0" fontId="15" fillId="0" borderId="1" xfId="0" applyFont="1" applyBorder="1" applyAlignment="1">
      <alignment horizontal="left" vertical="center" wrapText="1"/>
    </xf>
    <xf numFmtId="0" fontId="15" fillId="0" borderId="1" xfId="0" applyFont="1" applyBorder="1" applyAlignment="1">
      <alignment horizontal="center" vertical="center" wrapText="1"/>
    </xf>
    <xf numFmtId="164" fontId="20" fillId="0" borderId="1" xfId="0" applyNumberFormat="1" applyFont="1" applyBorder="1" applyAlignment="1" applyProtection="1">
      <alignment horizontal="center" vertical="center" wrapText="1"/>
      <protection hidden="1"/>
    </xf>
    <xf numFmtId="0" fontId="10" fillId="0" borderId="1" xfId="0" applyFont="1" applyBorder="1" applyAlignment="1">
      <alignment vertical="center"/>
    </xf>
    <xf numFmtId="2" fontId="0" fillId="0" borderId="1" xfId="0" applyNumberFormat="1" applyBorder="1" applyAlignment="1">
      <alignment horizontal="center" vertical="center"/>
    </xf>
    <xf numFmtId="0" fontId="7" fillId="0" borderId="1" xfId="2" applyFont="1" applyBorder="1" applyAlignment="1" applyProtection="1">
      <alignment horizontal="left" vertical="center" wrapText="1"/>
      <protection locked="0"/>
    </xf>
    <xf numFmtId="0" fontId="6" fillId="0" borderId="1" xfId="0" applyFont="1" applyBorder="1" applyAlignment="1">
      <alignment horizontal="left" vertical="center" wrapText="1"/>
    </xf>
    <xf numFmtId="0" fontId="9" fillId="0" borderId="1" xfId="0" applyFont="1" applyBorder="1" applyAlignment="1">
      <alignment horizontal="center" vertical="center" wrapText="1"/>
    </xf>
    <xf numFmtId="164" fontId="21" fillId="0" borderId="1" xfId="0" applyNumberFormat="1" applyFont="1" applyBorder="1" applyAlignment="1" applyProtection="1">
      <alignment horizontal="center" vertical="center" wrapText="1"/>
      <protection hidden="1"/>
    </xf>
    <xf numFmtId="0" fontId="14" fillId="0" borderId="1" xfId="2" applyFont="1" applyBorder="1" applyAlignment="1" applyProtection="1">
      <alignment horizontal="center" vertical="center"/>
      <protection locked="0"/>
    </xf>
    <xf numFmtId="0" fontId="22" fillId="0" borderId="1" xfId="2" applyFont="1" applyBorder="1" applyAlignment="1" applyProtection="1">
      <alignment horizontal="center" vertical="center"/>
      <protection locked="0"/>
    </xf>
    <xf numFmtId="2" fontId="6" fillId="0" borderId="1" xfId="2" applyNumberFormat="1" applyFont="1" applyBorder="1" applyAlignment="1" applyProtection="1">
      <alignment horizontal="center" vertical="center" wrapText="1"/>
      <protection locked="0"/>
    </xf>
    <xf numFmtId="0" fontId="6" fillId="0" borderId="1" xfId="2" applyFont="1" applyBorder="1" applyAlignment="1" applyProtection="1">
      <alignment horizontal="left" vertical="center"/>
      <protection locked="0"/>
    </xf>
    <xf numFmtId="0" fontId="9" fillId="0" borderId="1" xfId="2" applyFont="1" applyBorder="1" applyAlignment="1" applyProtection="1">
      <alignment vertical="center" wrapText="1"/>
      <protection locked="0"/>
    </xf>
    <xf numFmtId="0" fontId="6" fillId="0" borderId="1" xfId="2" applyFont="1" applyBorder="1" applyAlignment="1" applyProtection="1">
      <alignment vertical="center" wrapText="1"/>
      <protection locked="0"/>
    </xf>
    <xf numFmtId="164" fontId="7" fillId="0" borderId="0" xfId="0" applyNumberFormat="1" applyFont="1" applyAlignment="1">
      <alignment vertical="center"/>
    </xf>
    <xf numFmtId="0" fontId="6" fillId="0" borderId="0" xfId="0" applyFont="1" applyAlignment="1">
      <alignment vertical="center"/>
    </xf>
    <xf numFmtId="0" fontId="23" fillId="0" borderId="1" xfId="0" applyFont="1" applyBorder="1" applyAlignment="1">
      <alignment horizontal="center" vertical="center" wrapText="1"/>
    </xf>
    <xf numFmtId="164" fontId="12" fillId="0" borderId="1" xfId="0" applyNumberFormat="1" applyFont="1" applyBorder="1" applyAlignment="1" applyProtection="1">
      <alignment horizontal="center" vertical="center" wrapText="1"/>
      <protection hidden="1"/>
    </xf>
    <xf numFmtId="0" fontId="9" fillId="0" borderId="2" xfId="2" applyFont="1" applyBorder="1" applyAlignment="1" applyProtection="1">
      <alignment horizontal="center" vertical="center"/>
      <protection locked="0"/>
    </xf>
    <xf numFmtId="0" fontId="7" fillId="0" borderId="0" xfId="0" applyFont="1" applyAlignment="1">
      <alignment horizontal="center" vertical="center" wrapText="1"/>
    </xf>
    <xf numFmtId="0" fontId="0" fillId="0" borderId="1" xfId="0" applyBorder="1"/>
    <xf numFmtId="0" fontId="7" fillId="0" borderId="1" xfId="0" applyFont="1" applyBorder="1" applyAlignment="1">
      <alignment horizontal="left" wrapText="1"/>
    </xf>
    <xf numFmtId="0" fontId="2" fillId="2" borderId="0" xfId="0" applyFont="1" applyFill="1" applyAlignment="1">
      <alignment horizontal="center" vertical="center"/>
    </xf>
    <xf numFmtId="0" fontId="7" fillId="2" borderId="0" xfId="0" applyFont="1" applyFill="1" applyAlignment="1">
      <alignment horizontal="left" vertical="center" wrapText="1"/>
    </xf>
    <xf numFmtId="0" fontId="7" fillId="2" borderId="0" xfId="0" applyFont="1" applyFill="1" applyAlignment="1">
      <alignment horizontal="center" vertical="center" wrapText="1"/>
    </xf>
    <xf numFmtId="0" fontId="7" fillId="2" borderId="0" xfId="0" applyFont="1" applyFill="1" applyAlignment="1">
      <alignment vertical="center"/>
    </xf>
    <xf numFmtId="0" fontId="7" fillId="2" borderId="0" xfId="0" applyFont="1" applyFill="1" applyAlignment="1">
      <alignment horizontal="center" vertical="center"/>
    </xf>
    <xf numFmtId="0" fontId="7" fillId="2" borderId="3" xfId="0" applyFont="1" applyFill="1" applyBorder="1" applyAlignment="1">
      <alignment horizontal="center" vertical="center" wrapText="1"/>
    </xf>
    <xf numFmtId="0" fontId="6" fillId="2" borderId="3" xfId="2" applyFont="1" applyFill="1" applyBorder="1" applyAlignment="1" applyProtection="1">
      <alignment horizontal="center" vertical="center"/>
      <protection locked="0"/>
    </xf>
    <xf numFmtId="0" fontId="7" fillId="2" borderId="3" xfId="0" applyFont="1" applyFill="1" applyBorder="1" applyAlignment="1">
      <alignment vertical="center" wrapText="1"/>
    </xf>
    <xf numFmtId="0" fontId="7" fillId="2" borderId="0" xfId="0" applyFont="1" applyFill="1" applyAlignment="1">
      <alignment vertical="center" wrapText="1"/>
    </xf>
    <xf numFmtId="0" fontId="6" fillId="2" borderId="0" xfId="2" applyFont="1" applyFill="1" applyAlignment="1" applyProtection="1">
      <alignment horizontal="center" vertical="center"/>
      <protection locked="0"/>
    </xf>
    <xf numFmtId="0" fontId="7" fillId="2" borderId="3" xfId="0" applyFont="1" applyFill="1" applyBorder="1" applyAlignment="1">
      <alignment vertical="center"/>
    </xf>
    <xf numFmtId="2" fontId="7" fillId="2" borderId="0" xfId="0" applyNumberFormat="1" applyFont="1" applyFill="1" applyAlignment="1">
      <alignment horizontal="center" vertical="center"/>
    </xf>
    <xf numFmtId="166" fontId="5" fillId="2" borderId="0" xfId="1" applyFont="1" applyFill="1" applyAlignment="1">
      <alignment horizontal="center" vertical="center" wrapText="1"/>
    </xf>
    <xf numFmtId="0" fontId="2" fillId="0" borderId="0" xfId="0" applyFont="1" applyAlignment="1">
      <alignment horizontal="center" vertical="center"/>
    </xf>
    <xf numFmtId="0" fontId="7" fillId="0" borderId="0" xfId="0" applyFont="1" applyAlignment="1">
      <alignment horizontal="left" vertical="center" wrapText="1"/>
    </xf>
    <xf numFmtId="0" fontId="6" fillId="0" borderId="0" xfId="2" applyFont="1" applyAlignment="1" applyProtection="1">
      <alignment horizontal="center" vertical="center"/>
      <protection locked="0"/>
    </xf>
    <xf numFmtId="2" fontId="7" fillId="0" borderId="0" xfId="0" applyNumberFormat="1" applyFont="1" applyAlignment="1">
      <alignment horizontal="center" vertical="center"/>
    </xf>
    <xf numFmtId="0" fontId="24" fillId="0" borderId="0" xfId="3" applyAlignment="1">
      <alignment vertical="center"/>
    </xf>
  </cellXfs>
  <cellStyles count="4">
    <cellStyle name="Normal 2" xfId="2"/>
    <cellStyle name="Гиперссылка" xfId="3" builtinId="8"/>
    <cellStyle name="Обычный" xfId="0" builtinId="0"/>
    <cellStyle name="Финансовый"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143"/>
  <sheetViews>
    <sheetView tabSelected="1" zoomScale="85" zoomScaleNormal="85" workbookViewId="0">
      <selection activeCell="D3" sqref="D3"/>
    </sheetView>
  </sheetViews>
  <sheetFormatPr defaultRowHeight="29.25" customHeight="1" x14ac:dyDescent="0.25"/>
  <cols>
    <col min="1" max="1" width="12.140625" style="94" customWidth="1"/>
    <col min="2" max="2" width="26.42578125" style="95" customWidth="1"/>
    <col min="3" max="3" width="26.42578125" style="78" customWidth="1"/>
    <col min="4" max="4" width="51.42578125" style="95" customWidth="1"/>
    <col min="5" max="6" width="9.140625" style="20" customWidth="1"/>
    <col min="7" max="7" width="11.140625" style="20" customWidth="1"/>
    <col min="8" max="9" width="10.85546875" style="20" customWidth="1"/>
    <col min="10" max="10" width="11.28515625" style="20" customWidth="1"/>
    <col min="11" max="12" width="10.7109375" style="20" customWidth="1"/>
    <col min="13" max="14" width="11.28515625" style="20" customWidth="1"/>
    <col min="15" max="19" width="11.42578125" style="52" customWidth="1"/>
    <col min="20" max="22" width="11.42578125" style="78" customWidth="1"/>
    <col min="23" max="23" width="11.42578125" style="52" customWidth="1"/>
    <col min="24" max="25" width="14.7109375" style="52" customWidth="1"/>
    <col min="26" max="26" width="12.42578125" style="52" customWidth="1"/>
    <col min="27" max="28" width="11.42578125" style="52" customWidth="1"/>
    <col min="29" max="31" width="11.42578125" style="25" customWidth="1"/>
    <col min="32" max="32" width="11.42578125" style="22" customWidth="1"/>
    <col min="33" max="33" width="11.42578125" style="26" customWidth="1"/>
    <col min="34" max="36" width="11.42578125" style="25" customWidth="1"/>
    <col min="37" max="37" width="11.42578125" style="22" customWidth="1"/>
    <col min="38" max="39" width="11.42578125" style="25" customWidth="1"/>
    <col min="40" max="40" width="11.42578125" style="26" customWidth="1"/>
    <col min="41" max="41" width="11.42578125" style="50" customWidth="1"/>
    <col min="42" max="42" width="11.42578125" style="25" customWidth="1"/>
    <col min="43" max="43" width="11.42578125" style="78" customWidth="1"/>
    <col min="44" max="46" width="11.42578125" style="96" customWidth="1"/>
    <col min="47" max="47" width="11.42578125" style="25" customWidth="1"/>
    <col min="48" max="48" width="11.42578125" style="27" customWidth="1"/>
    <col min="49" max="50" width="11.42578125" style="26" customWidth="1"/>
    <col min="51" max="51" width="11.42578125" style="22" customWidth="1"/>
    <col min="52" max="52" width="11.42578125" style="25" customWidth="1"/>
    <col min="53" max="72" width="11.42578125" style="78" customWidth="1"/>
    <col min="73" max="73" width="12.7109375" style="97" customWidth="1"/>
    <col min="74" max="75" width="11.42578125" style="78" customWidth="1"/>
    <col min="76" max="76" width="26.5703125" style="78" customWidth="1"/>
    <col min="77" max="77" width="12.7109375" style="97" customWidth="1"/>
    <col min="78" max="78" width="17.28515625" style="52" customWidth="1"/>
    <col min="79" max="79" width="23.28515625" style="20" customWidth="1"/>
    <col min="80" max="16384" width="9.140625" style="20"/>
  </cols>
  <sheetData>
    <row r="1" spans="1:80" ht="48.75" customHeight="1" x14ac:dyDescent="0.25">
      <c r="A1" s="1" t="s">
        <v>0</v>
      </c>
      <c r="B1" s="2" t="s">
        <v>1</v>
      </c>
      <c r="C1" s="3" t="s">
        <v>2</v>
      </c>
      <c r="D1" s="2" t="s">
        <v>3</v>
      </c>
      <c r="E1" s="2" t="s">
        <v>4</v>
      </c>
      <c r="F1" s="4" t="s">
        <v>5</v>
      </c>
      <c r="G1" s="5" t="s">
        <v>6</v>
      </c>
      <c r="H1" s="5" t="s">
        <v>7</v>
      </c>
      <c r="I1" s="4" t="s">
        <v>8</v>
      </c>
      <c r="J1" s="5" t="s">
        <v>9</v>
      </c>
      <c r="K1" s="4" t="s">
        <v>10</v>
      </c>
      <c r="L1" s="4" t="s">
        <v>11</v>
      </c>
      <c r="M1" s="5" t="s">
        <v>12</v>
      </c>
      <c r="N1" s="5" t="s">
        <v>13</v>
      </c>
      <c r="O1" s="3" t="s">
        <v>14</v>
      </c>
      <c r="P1" s="6" t="s">
        <v>15</v>
      </c>
      <c r="Q1" s="7" t="s">
        <v>16</v>
      </c>
      <c r="R1" s="8" t="s">
        <v>17</v>
      </c>
      <c r="S1" s="9" t="s">
        <v>18</v>
      </c>
      <c r="T1" s="10" t="s">
        <v>19</v>
      </c>
      <c r="U1" s="4" t="s">
        <v>20</v>
      </c>
      <c r="V1" s="10" t="s">
        <v>21</v>
      </c>
      <c r="W1" s="8" t="s">
        <v>22</v>
      </c>
      <c r="X1" s="8" t="s">
        <v>23</v>
      </c>
      <c r="Y1" s="4" t="s">
        <v>24</v>
      </c>
      <c r="Z1" s="7" t="s">
        <v>25</v>
      </c>
      <c r="AA1" s="11" t="s">
        <v>26</v>
      </c>
      <c r="AB1" s="8" t="s">
        <v>27</v>
      </c>
      <c r="AC1" s="8" t="s">
        <v>28</v>
      </c>
      <c r="AD1" s="10" t="s">
        <v>29</v>
      </c>
      <c r="AE1" s="7" t="s">
        <v>30</v>
      </c>
      <c r="AF1" s="6" t="s">
        <v>31</v>
      </c>
      <c r="AG1" s="9" t="s">
        <v>32</v>
      </c>
      <c r="AH1" s="10" t="s">
        <v>33</v>
      </c>
      <c r="AI1" s="4" t="s">
        <v>34</v>
      </c>
      <c r="AJ1" s="8" t="s">
        <v>35</v>
      </c>
      <c r="AK1" s="6" t="s">
        <v>36</v>
      </c>
      <c r="AL1" s="4" t="s">
        <v>37</v>
      </c>
      <c r="AM1" s="7" t="s">
        <v>38</v>
      </c>
      <c r="AN1" s="12" t="s">
        <v>39</v>
      </c>
      <c r="AO1" s="10" t="s">
        <v>40</v>
      </c>
      <c r="AP1" s="10" t="s">
        <v>41</v>
      </c>
      <c r="AQ1" s="10" t="s">
        <v>42</v>
      </c>
      <c r="AR1" s="9" t="s">
        <v>43</v>
      </c>
      <c r="AS1" s="4" t="s">
        <v>44</v>
      </c>
      <c r="AT1" s="4" t="s">
        <v>45</v>
      </c>
      <c r="AU1" s="10" t="s">
        <v>46</v>
      </c>
      <c r="AV1" s="9" t="s">
        <v>47</v>
      </c>
      <c r="AW1" s="9" t="s">
        <v>48</v>
      </c>
      <c r="AX1" s="9" t="s">
        <v>49</v>
      </c>
      <c r="AY1" s="13" t="s">
        <v>50</v>
      </c>
      <c r="AZ1" s="10" t="s">
        <v>51</v>
      </c>
      <c r="BA1" s="4" t="s">
        <v>52</v>
      </c>
      <c r="BB1" s="4" t="s">
        <v>53</v>
      </c>
      <c r="BC1" s="4" t="s">
        <v>54</v>
      </c>
      <c r="BD1" s="4" t="s">
        <v>55</v>
      </c>
      <c r="BE1" s="10" t="s">
        <v>56</v>
      </c>
      <c r="BF1" s="10" t="s">
        <v>57</v>
      </c>
      <c r="BG1" s="10" t="s">
        <v>58</v>
      </c>
      <c r="BH1" s="10" t="s">
        <v>59</v>
      </c>
      <c r="BI1" s="10" t="s">
        <v>60</v>
      </c>
      <c r="BJ1" s="10" t="s">
        <v>61</v>
      </c>
      <c r="BK1" s="10" t="s">
        <v>62</v>
      </c>
      <c r="BL1" s="10" t="s">
        <v>63</v>
      </c>
      <c r="BM1" s="4" t="s">
        <v>64</v>
      </c>
      <c r="BN1" s="4" t="s">
        <v>65</v>
      </c>
      <c r="BO1" s="4" t="s">
        <v>66</v>
      </c>
      <c r="BP1" s="4" t="s">
        <v>67</v>
      </c>
      <c r="BQ1" s="4" t="s">
        <v>68</v>
      </c>
      <c r="BR1" s="4" t="s">
        <v>69</v>
      </c>
      <c r="BS1" s="4" t="s">
        <v>70</v>
      </c>
      <c r="BT1" s="14" t="s">
        <v>71</v>
      </c>
      <c r="BU1" s="15"/>
      <c r="BV1" s="16" t="s">
        <v>72</v>
      </c>
      <c r="BW1" s="16"/>
      <c r="BX1" s="17" t="s">
        <v>73</v>
      </c>
      <c r="BY1" s="18" t="s">
        <v>74</v>
      </c>
      <c r="BZ1" s="19" t="s">
        <v>75</v>
      </c>
      <c r="CA1" s="20" t="s">
        <v>76</v>
      </c>
      <c r="CB1" s="20" t="s">
        <v>385</v>
      </c>
    </row>
    <row r="2" spans="1:80" ht="29.25" customHeight="1" x14ac:dyDescent="0.25">
      <c r="A2" s="23">
        <v>1</v>
      </c>
      <c r="B2" s="24" t="s">
        <v>77</v>
      </c>
      <c r="C2" s="21" t="s">
        <v>77</v>
      </c>
      <c r="D2" s="24" t="s">
        <v>78</v>
      </c>
      <c r="E2" s="23" t="s">
        <v>79</v>
      </c>
      <c r="F2" s="22"/>
      <c r="G2" s="22"/>
      <c r="H2" s="22"/>
      <c r="I2" s="22"/>
      <c r="J2" s="22"/>
      <c r="K2" s="22"/>
      <c r="L2" s="22"/>
      <c r="M2" s="22"/>
      <c r="N2" s="22"/>
      <c r="O2" s="22"/>
      <c r="P2" s="22"/>
      <c r="Q2" s="22"/>
      <c r="R2" s="22"/>
      <c r="S2" s="22"/>
      <c r="T2" s="25"/>
      <c r="U2" s="25"/>
      <c r="V2" s="25"/>
      <c r="W2" s="22"/>
      <c r="X2" s="22"/>
      <c r="Y2" s="22"/>
      <c r="Z2" s="22"/>
      <c r="AA2" s="22"/>
      <c r="AB2" s="22"/>
      <c r="AC2" s="22"/>
      <c r="AD2" s="22"/>
      <c r="AG2" s="22"/>
      <c r="AJ2" s="22"/>
      <c r="AK2" s="22">
        <v>3</v>
      </c>
      <c r="AO2" s="25"/>
      <c r="AQ2" s="25"/>
      <c r="AR2" s="27"/>
      <c r="AS2" s="27"/>
      <c r="AT2" s="27"/>
      <c r="BA2" s="25"/>
      <c r="BB2" s="25"/>
      <c r="BC2" s="25"/>
      <c r="BD2" s="25"/>
      <c r="BE2" s="25"/>
      <c r="BF2" s="25"/>
      <c r="BG2" s="25"/>
      <c r="BH2" s="25"/>
      <c r="BI2" s="25"/>
      <c r="BJ2" s="25"/>
      <c r="BK2" s="25"/>
      <c r="BL2" s="25"/>
      <c r="BM2" s="25"/>
      <c r="BN2" s="25"/>
      <c r="BO2" s="25"/>
      <c r="BP2" s="25"/>
      <c r="BQ2" s="25"/>
      <c r="BR2" s="25"/>
      <c r="BS2" s="25"/>
      <c r="BT2" s="25">
        <f>SUM(F2:BS2)</f>
        <v>3</v>
      </c>
      <c r="BU2" s="28">
        <f t="shared" ref="BU2:BU65" si="0">SUM(G2:BL2)</f>
        <v>3</v>
      </c>
      <c r="BV2" s="25">
        <f t="shared" ref="BV2:BV65" si="1">BY2/1.2</f>
        <v>4250</v>
      </c>
      <c r="BW2" s="25">
        <f>BT2*BV2</f>
        <v>12750</v>
      </c>
      <c r="BX2" s="25">
        <v>12750</v>
      </c>
      <c r="BY2" s="22">
        <v>5100</v>
      </c>
      <c r="BZ2" s="28">
        <f t="shared" ref="BZ2:BZ65" si="2">BY2*BU2</f>
        <v>15300</v>
      </c>
      <c r="CB2" s="98" t="s">
        <v>386</v>
      </c>
    </row>
    <row r="3" spans="1:80" s="25" customFormat="1" ht="29.25" customHeight="1" x14ac:dyDescent="0.25">
      <c r="A3" s="29">
        <v>2</v>
      </c>
      <c r="B3" s="30" t="s">
        <v>80</v>
      </c>
      <c r="C3" s="25" t="s">
        <v>80</v>
      </c>
      <c r="D3" s="30" t="s">
        <v>81</v>
      </c>
      <c r="E3" s="29" t="s">
        <v>82</v>
      </c>
      <c r="G3" s="31"/>
      <c r="H3" s="31"/>
      <c r="I3" s="31"/>
      <c r="J3" s="31"/>
      <c r="K3" s="31"/>
      <c r="L3" s="31"/>
      <c r="M3" s="31"/>
      <c r="N3" s="31"/>
      <c r="O3" s="31"/>
      <c r="P3" s="31"/>
      <c r="Q3" s="31"/>
      <c r="R3" s="31"/>
      <c r="S3" s="31"/>
      <c r="T3" s="31"/>
      <c r="U3" s="31"/>
      <c r="V3" s="31"/>
      <c r="W3" s="31"/>
      <c r="X3" s="31"/>
      <c r="Y3" s="31"/>
      <c r="Z3" s="31"/>
      <c r="AA3" s="31"/>
      <c r="AB3" s="31"/>
      <c r="AC3" s="31">
        <v>50</v>
      </c>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25">
        <f t="shared" ref="BT3:BT66" si="3">SUM(F3:BS3)</f>
        <v>50</v>
      </c>
      <c r="BU3" s="28">
        <f t="shared" si="0"/>
        <v>50</v>
      </c>
      <c r="BV3" s="25">
        <f t="shared" si="1"/>
        <v>1750</v>
      </c>
      <c r="BW3" s="25">
        <f t="shared" ref="BW3:BW66" si="4">BT3*BV3</f>
        <v>87500</v>
      </c>
      <c r="BX3" s="25">
        <v>87500</v>
      </c>
      <c r="BY3" s="32">
        <v>2100</v>
      </c>
      <c r="BZ3" s="22">
        <f t="shared" si="2"/>
        <v>105000</v>
      </c>
      <c r="CA3" s="27" t="s">
        <v>83</v>
      </c>
    </row>
    <row r="4" spans="1:80" ht="29.25" customHeight="1" x14ac:dyDescent="0.25">
      <c r="A4" s="23">
        <v>3</v>
      </c>
      <c r="B4" s="30" t="s">
        <v>84</v>
      </c>
      <c r="C4" s="25" t="s">
        <v>84</v>
      </c>
      <c r="D4" s="30" t="s">
        <v>81</v>
      </c>
      <c r="E4" s="29" t="s">
        <v>82</v>
      </c>
      <c r="F4" s="25"/>
      <c r="G4" s="31"/>
      <c r="H4" s="31"/>
      <c r="I4" s="31"/>
      <c r="J4" s="31"/>
      <c r="K4" s="31"/>
      <c r="L4" s="31"/>
      <c r="M4" s="31"/>
      <c r="N4" s="31"/>
      <c r="O4" s="31"/>
      <c r="P4" s="31"/>
      <c r="Q4" s="31"/>
      <c r="R4" s="31"/>
      <c r="S4" s="31"/>
      <c r="T4" s="31"/>
      <c r="U4" s="31"/>
      <c r="V4" s="31"/>
      <c r="W4" s="31"/>
      <c r="X4" s="31"/>
      <c r="Y4" s="31"/>
      <c r="Z4" s="31"/>
      <c r="AA4" s="31"/>
      <c r="AB4" s="31"/>
      <c r="AC4" s="31">
        <v>50</v>
      </c>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25">
        <f t="shared" si="3"/>
        <v>50</v>
      </c>
      <c r="BU4" s="28">
        <f t="shared" si="0"/>
        <v>50</v>
      </c>
      <c r="BV4" s="25">
        <f t="shared" si="1"/>
        <v>1833.3333333333335</v>
      </c>
      <c r="BW4" s="25">
        <f t="shared" si="4"/>
        <v>91666.666666666672</v>
      </c>
      <c r="BX4" s="25">
        <v>91666.67</v>
      </c>
      <c r="BY4" s="32">
        <v>2200</v>
      </c>
      <c r="BZ4" s="22">
        <f t="shared" si="2"/>
        <v>110000</v>
      </c>
      <c r="CA4" s="20" t="s">
        <v>83</v>
      </c>
    </row>
    <row r="5" spans="1:80" s="25" customFormat="1" ht="29.25" customHeight="1" x14ac:dyDescent="0.25">
      <c r="A5" s="29">
        <v>4</v>
      </c>
      <c r="B5" s="24" t="s">
        <v>85</v>
      </c>
      <c r="C5" s="21" t="s">
        <v>85</v>
      </c>
      <c r="D5" s="24" t="s">
        <v>86</v>
      </c>
      <c r="E5" s="23" t="s">
        <v>82</v>
      </c>
      <c r="F5" s="22"/>
      <c r="G5" s="22"/>
      <c r="H5" s="22"/>
      <c r="I5" s="22"/>
      <c r="J5" s="22"/>
      <c r="K5" s="22"/>
      <c r="L5" s="22"/>
      <c r="M5" s="22"/>
      <c r="N5" s="22"/>
      <c r="O5" s="22"/>
      <c r="P5" s="22"/>
      <c r="Q5" s="22"/>
      <c r="R5" s="22"/>
      <c r="S5" s="22"/>
      <c r="W5" s="22"/>
      <c r="X5" s="22"/>
      <c r="Y5" s="22"/>
      <c r="Z5" s="22"/>
      <c r="AA5" s="22"/>
      <c r="AB5" s="22"/>
      <c r="AC5" s="22"/>
      <c r="AD5" s="22"/>
      <c r="AF5" s="22"/>
      <c r="AG5" s="22"/>
      <c r="AJ5" s="22"/>
      <c r="AK5" s="22">
        <v>15</v>
      </c>
      <c r="AN5" s="26"/>
      <c r="AR5" s="27"/>
      <c r="AS5" s="27"/>
      <c r="AT5" s="27"/>
      <c r="AV5" s="27"/>
      <c r="AW5" s="26"/>
      <c r="AX5" s="26"/>
      <c r="AY5" s="22"/>
      <c r="BT5" s="25">
        <f t="shared" si="3"/>
        <v>15</v>
      </c>
      <c r="BU5" s="28">
        <f t="shared" si="0"/>
        <v>15</v>
      </c>
      <c r="BV5" s="25">
        <f t="shared" si="1"/>
        <v>1166.6666666666667</v>
      </c>
      <c r="BW5" s="25">
        <f t="shared" si="4"/>
        <v>17500</v>
      </c>
      <c r="BX5" s="25">
        <v>17500</v>
      </c>
      <c r="BY5" s="22">
        <v>1400</v>
      </c>
      <c r="BZ5" s="22">
        <f t="shared" si="2"/>
        <v>21000</v>
      </c>
      <c r="CA5" s="27"/>
    </row>
    <row r="6" spans="1:80" ht="29.25" customHeight="1" x14ac:dyDescent="0.25">
      <c r="A6" s="23">
        <v>5</v>
      </c>
      <c r="B6" s="30" t="s">
        <v>87</v>
      </c>
      <c r="C6" s="25" t="s">
        <v>87</v>
      </c>
      <c r="D6" s="30" t="s">
        <v>88</v>
      </c>
      <c r="E6" s="29" t="s">
        <v>82</v>
      </c>
      <c r="F6" s="25"/>
      <c r="G6" s="31"/>
      <c r="H6" s="31"/>
      <c r="I6" s="31"/>
      <c r="J6" s="31"/>
      <c r="K6" s="31"/>
      <c r="L6" s="31"/>
      <c r="M6" s="31"/>
      <c r="N6" s="31"/>
      <c r="O6" s="31"/>
      <c r="P6" s="31"/>
      <c r="Q6" s="31"/>
      <c r="R6" s="31"/>
      <c r="S6" s="31"/>
      <c r="T6" s="31"/>
      <c r="U6" s="31"/>
      <c r="V6" s="31"/>
      <c r="W6" s="31"/>
      <c r="X6" s="31"/>
      <c r="Y6" s="31"/>
      <c r="Z6" s="31"/>
      <c r="AA6" s="31"/>
      <c r="AB6" s="31"/>
      <c r="AC6" s="31">
        <v>5</v>
      </c>
      <c r="AD6" s="31"/>
      <c r="AE6" s="31"/>
      <c r="AF6" s="33"/>
      <c r="AG6" s="34"/>
      <c r="AH6" s="31"/>
      <c r="AI6" s="31"/>
      <c r="AJ6" s="31"/>
      <c r="AK6" s="33"/>
      <c r="AL6" s="31"/>
      <c r="AM6" s="31"/>
      <c r="AN6" s="34"/>
      <c r="AO6" s="34"/>
      <c r="AP6" s="31"/>
      <c r="AQ6" s="31"/>
      <c r="AR6" s="33"/>
      <c r="AS6" s="33"/>
      <c r="AT6" s="33"/>
      <c r="AU6" s="31"/>
      <c r="AV6" s="35"/>
      <c r="AW6" s="34"/>
      <c r="AX6" s="34"/>
      <c r="AY6" s="33"/>
      <c r="AZ6" s="31"/>
      <c r="BA6" s="31"/>
      <c r="BB6" s="31"/>
      <c r="BC6" s="31"/>
      <c r="BD6" s="31"/>
      <c r="BE6" s="31"/>
      <c r="BF6" s="31"/>
      <c r="BG6" s="31"/>
      <c r="BH6" s="31"/>
      <c r="BI6" s="31"/>
      <c r="BJ6" s="31"/>
      <c r="BK6" s="31"/>
      <c r="BL6" s="31"/>
      <c r="BM6" s="31"/>
      <c r="BN6" s="31"/>
      <c r="BO6" s="31"/>
      <c r="BP6" s="31"/>
      <c r="BQ6" s="31"/>
      <c r="BR6" s="31"/>
      <c r="BS6" s="31"/>
      <c r="BT6" s="25">
        <f t="shared" si="3"/>
        <v>5</v>
      </c>
      <c r="BU6" s="28">
        <f t="shared" si="0"/>
        <v>5</v>
      </c>
      <c r="BV6" s="25">
        <f t="shared" si="1"/>
        <v>1500</v>
      </c>
      <c r="BW6" s="25">
        <f t="shared" si="4"/>
        <v>7500</v>
      </c>
      <c r="BX6" s="25">
        <v>7500</v>
      </c>
      <c r="BY6" s="32">
        <v>1800</v>
      </c>
      <c r="BZ6" s="22">
        <f t="shared" si="2"/>
        <v>9000</v>
      </c>
      <c r="CA6" s="20" t="s">
        <v>83</v>
      </c>
    </row>
    <row r="7" spans="1:80" s="25" customFormat="1" ht="29.25" customHeight="1" x14ac:dyDescent="0.25">
      <c r="A7" s="29">
        <v>6</v>
      </c>
      <c r="B7" s="24" t="s">
        <v>89</v>
      </c>
      <c r="C7" s="21" t="s">
        <v>89</v>
      </c>
      <c r="D7" s="24" t="s">
        <v>90</v>
      </c>
      <c r="E7" s="23" t="s">
        <v>79</v>
      </c>
      <c r="F7" s="22"/>
      <c r="G7" s="22"/>
      <c r="H7" s="22"/>
      <c r="I7" s="22"/>
      <c r="J7" s="22"/>
      <c r="K7" s="22"/>
      <c r="L7" s="22"/>
      <c r="M7" s="22"/>
      <c r="N7" s="22"/>
      <c r="O7" s="22"/>
      <c r="P7" s="22"/>
      <c r="Q7" s="22"/>
      <c r="R7" s="22"/>
      <c r="S7" s="22"/>
      <c r="W7" s="22"/>
      <c r="X7" s="22"/>
      <c r="Y7" s="22"/>
      <c r="Z7" s="22"/>
      <c r="AA7" s="22"/>
      <c r="AB7" s="22"/>
      <c r="AC7" s="22"/>
      <c r="AD7" s="22"/>
      <c r="AF7" s="22"/>
      <c r="AG7" s="22"/>
      <c r="AJ7" s="22"/>
      <c r="AK7" s="22">
        <v>3</v>
      </c>
      <c r="AN7" s="26"/>
      <c r="AR7" s="27"/>
      <c r="AS7" s="27"/>
      <c r="AT7" s="27"/>
      <c r="AV7" s="27"/>
      <c r="AW7" s="26"/>
      <c r="AX7" s="26"/>
      <c r="AY7" s="22"/>
      <c r="BT7" s="25">
        <f t="shared" si="3"/>
        <v>3</v>
      </c>
      <c r="BU7" s="28">
        <f t="shared" si="0"/>
        <v>3</v>
      </c>
      <c r="BV7" s="25">
        <f t="shared" si="1"/>
        <v>583.33333333333337</v>
      </c>
      <c r="BW7" s="25">
        <f t="shared" si="4"/>
        <v>1750</v>
      </c>
      <c r="BX7" s="25">
        <v>1750</v>
      </c>
      <c r="BY7" s="22">
        <v>700</v>
      </c>
      <c r="BZ7" s="22">
        <f t="shared" si="2"/>
        <v>2100</v>
      </c>
      <c r="CA7" s="27"/>
    </row>
    <row r="8" spans="1:80" ht="29.25" customHeight="1" x14ac:dyDescent="0.25">
      <c r="A8" s="23">
        <v>7</v>
      </c>
      <c r="B8" s="24" t="s">
        <v>91</v>
      </c>
      <c r="C8" s="21" t="s">
        <v>91</v>
      </c>
      <c r="D8" s="24" t="s">
        <v>92</v>
      </c>
      <c r="E8" s="23" t="s">
        <v>79</v>
      </c>
      <c r="F8" s="22"/>
      <c r="G8" s="22"/>
      <c r="H8" s="22"/>
      <c r="I8" s="22"/>
      <c r="J8" s="22"/>
      <c r="K8" s="22"/>
      <c r="L8" s="22"/>
      <c r="M8" s="22"/>
      <c r="N8" s="22"/>
      <c r="O8" s="22"/>
      <c r="P8" s="22"/>
      <c r="Q8" s="22"/>
      <c r="R8" s="22"/>
      <c r="S8" s="22"/>
      <c r="T8" s="25"/>
      <c r="U8" s="25"/>
      <c r="V8" s="25"/>
      <c r="W8" s="22"/>
      <c r="X8" s="22"/>
      <c r="Y8" s="22"/>
      <c r="Z8" s="22"/>
      <c r="AA8" s="22"/>
      <c r="AB8" s="22"/>
      <c r="AC8" s="22"/>
      <c r="AD8" s="22"/>
      <c r="AG8" s="22"/>
      <c r="AJ8" s="22"/>
      <c r="AK8" s="22">
        <v>1</v>
      </c>
      <c r="AO8" s="25"/>
      <c r="AQ8" s="25"/>
      <c r="AR8" s="27"/>
      <c r="AS8" s="27"/>
      <c r="AT8" s="27"/>
      <c r="BA8" s="25"/>
      <c r="BB8" s="25"/>
      <c r="BC8" s="25"/>
      <c r="BD8" s="25"/>
      <c r="BE8" s="25"/>
      <c r="BF8" s="25"/>
      <c r="BG8" s="25"/>
      <c r="BH8" s="25"/>
      <c r="BI8" s="25"/>
      <c r="BJ8" s="25"/>
      <c r="BK8" s="25"/>
      <c r="BL8" s="25"/>
      <c r="BM8" s="25"/>
      <c r="BN8" s="25"/>
      <c r="BO8" s="25"/>
      <c r="BP8" s="25"/>
      <c r="BQ8" s="25"/>
      <c r="BR8" s="25"/>
      <c r="BS8" s="25"/>
      <c r="BT8" s="25">
        <f t="shared" si="3"/>
        <v>1</v>
      </c>
      <c r="BU8" s="28">
        <f t="shared" si="0"/>
        <v>1</v>
      </c>
      <c r="BV8" s="25">
        <f t="shared" si="1"/>
        <v>583.33333333333337</v>
      </c>
      <c r="BW8" s="25">
        <f t="shared" si="4"/>
        <v>583.33333333333337</v>
      </c>
      <c r="BX8" s="25">
        <v>583.34</v>
      </c>
      <c r="BY8" s="22">
        <v>700</v>
      </c>
      <c r="BZ8" s="22">
        <f t="shared" si="2"/>
        <v>700</v>
      </c>
    </row>
    <row r="9" spans="1:80" ht="29.25" customHeight="1" x14ac:dyDescent="0.25">
      <c r="A9" s="29">
        <v>8</v>
      </c>
      <c r="B9" s="24" t="s">
        <v>93</v>
      </c>
      <c r="C9" s="21" t="s">
        <v>93</v>
      </c>
      <c r="D9" s="24" t="s">
        <v>94</v>
      </c>
      <c r="E9" s="23" t="s">
        <v>79</v>
      </c>
      <c r="F9" s="22"/>
      <c r="G9" s="22"/>
      <c r="H9" s="22"/>
      <c r="I9" s="22"/>
      <c r="J9" s="22"/>
      <c r="K9" s="22"/>
      <c r="L9" s="22"/>
      <c r="M9" s="22"/>
      <c r="N9" s="22"/>
      <c r="O9" s="22"/>
      <c r="P9" s="22"/>
      <c r="Q9" s="22"/>
      <c r="R9" s="22"/>
      <c r="S9" s="22"/>
      <c r="T9" s="25"/>
      <c r="U9" s="25"/>
      <c r="V9" s="25"/>
      <c r="W9" s="22"/>
      <c r="X9" s="22"/>
      <c r="Y9" s="22"/>
      <c r="Z9" s="22"/>
      <c r="AA9" s="22"/>
      <c r="AB9" s="22"/>
      <c r="AC9" s="22"/>
      <c r="AD9" s="22"/>
      <c r="AG9" s="22"/>
      <c r="AJ9" s="22"/>
      <c r="AK9" s="22">
        <v>1</v>
      </c>
      <c r="AO9" s="25"/>
      <c r="AQ9" s="25"/>
      <c r="AR9" s="27"/>
      <c r="AS9" s="27"/>
      <c r="AT9" s="27"/>
      <c r="BA9" s="25"/>
      <c r="BB9" s="25"/>
      <c r="BC9" s="25"/>
      <c r="BD9" s="25"/>
      <c r="BE9" s="25"/>
      <c r="BF9" s="25"/>
      <c r="BG9" s="25"/>
      <c r="BH9" s="25"/>
      <c r="BI9" s="25"/>
      <c r="BJ9" s="25"/>
      <c r="BK9" s="25"/>
      <c r="BL9" s="25"/>
      <c r="BM9" s="25"/>
      <c r="BN9" s="25"/>
      <c r="BO9" s="25"/>
      <c r="BP9" s="25"/>
      <c r="BQ9" s="25"/>
      <c r="BR9" s="25"/>
      <c r="BS9" s="25"/>
      <c r="BT9" s="25">
        <f t="shared" si="3"/>
        <v>1</v>
      </c>
      <c r="BU9" s="28">
        <f t="shared" si="0"/>
        <v>1</v>
      </c>
      <c r="BV9" s="25">
        <f t="shared" si="1"/>
        <v>583.33333333333337</v>
      </c>
      <c r="BW9" s="25">
        <f t="shared" si="4"/>
        <v>583.33333333333337</v>
      </c>
      <c r="BX9" s="25">
        <v>583.34</v>
      </c>
      <c r="BY9" s="22">
        <v>700</v>
      </c>
      <c r="BZ9" s="22">
        <f t="shared" si="2"/>
        <v>700</v>
      </c>
    </row>
    <row r="10" spans="1:80" ht="29.25" customHeight="1" x14ac:dyDescent="0.25">
      <c r="A10" s="23">
        <v>9</v>
      </c>
      <c r="B10" s="24" t="s">
        <v>95</v>
      </c>
      <c r="C10" s="21" t="s">
        <v>95</v>
      </c>
      <c r="D10" s="24" t="s">
        <v>96</v>
      </c>
      <c r="E10" s="23" t="s">
        <v>82</v>
      </c>
      <c r="F10" s="22"/>
      <c r="G10" s="22"/>
      <c r="H10" s="22"/>
      <c r="I10" s="22"/>
      <c r="J10" s="22"/>
      <c r="K10" s="22"/>
      <c r="L10" s="22"/>
      <c r="M10" s="22"/>
      <c r="N10" s="22"/>
      <c r="O10" s="22"/>
      <c r="P10" s="22"/>
      <c r="Q10" s="22"/>
      <c r="R10" s="22"/>
      <c r="S10" s="22"/>
      <c r="T10" s="25"/>
      <c r="U10" s="25"/>
      <c r="V10" s="25"/>
      <c r="W10" s="22"/>
      <c r="X10" s="22"/>
      <c r="Y10" s="22"/>
      <c r="Z10" s="22"/>
      <c r="AA10" s="22"/>
      <c r="AB10" s="22"/>
      <c r="AC10" s="22"/>
      <c r="AD10" s="22"/>
      <c r="AG10" s="22"/>
      <c r="AJ10" s="22"/>
      <c r="AK10" s="22">
        <v>22</v>
      </c>
      <c r="AO10" s="25"/>
      <c r="AQ10" s="25"/>
      <c r="AR10" s="27"/>
      <c r="AS10" s="27"/>
      <c r="AT10" s="27"/>
      <c r="BA10" s="25"/>
      <c r="BB10" s="25"/>
      <c r="BC10" s="25"/>
      <c r="BD10" s="25"/>
      <c r="BE10" s="25"/>
      <c r="BF10" s="25"/>
      <c r="BG10" s="25"/>
      <c r="BH10" s="25"/>
      <c r="BI10" s="25"/>
      <c r="BJ10" s="25"/>
      <c r="BK10" s="25"/>
      <c r="BL10" s="25"/>
      <c r="BM10" s="25"/>
      <c r="BN10" s="25"/>
      <c r="BO10" s="25"/>
      <c r="BP10" s="25"/>
      <c r="BQ10" s="25"/>
      <c r="BR10" s="25"/>
      <c r="BS10" s="25"/>
      <c r="BT10" s="25">
        <f t="shared" si="3"/>
        <v>22</v>
      </c>
      <c r="BU10" s="28">
        <f t="shared" si="0"/>
        <v>22</v>
      </c>
      <c r="BV10" s="25">
        <f t="shared" si="1"/>
        <v>2750</v>
      </c>
      <c r="BW10" s="25">
        <f t="shared" si="4"/>
        <v>60500</v>
      </c>
      <c r="BX10" s="25">
        <v>60500</v>
      </c>
      <c r="BY10" s="22">
        <v>3300</v>
      </c>
      <c r="BZ10" s="22">
        <f t="shared" si="2"/>
        <v>72600</v>
      </c>
    </row>
    <row r="11" spans="1:80" ht="29.25" customHeight="1" x14ac:dyDescent="0.25">
      <c r="A11" s="29">
        <v>10</v>
      </c>
      <c r="B11" s="30" t="s">
        <v>97</v>
      </c>
      <c r="C11" s="25" t="s">
        <v>97</v>
      </c>
      <c r="D11" s="24" t="s">
        <v>98</v>
      </c>
      <c r="E11" s="29" t="s">
        <v>82</v>
      </c>
      <c r="F11" s="25"/>
      <c r="G11" s="25"/>
      <c r="H11" s="25"/>
      <c r="I11" s="25"/>
      <c r="J11" s="25"/>
      <c r="K11" s="25"/>
      <c r="L11" s="25"/>
      <c r="M11" s="25"/>
      <c r="N11" s="25"/>
      <c r="O11" s="25"/>
      <c r="P11" s="25"/>
      <c r="Q11" s="25"/>
      <c r="R11" s="25"/>
      <c r="S11" s="25"/>
      <c r="T11" s="25"/>
      <c r="U11" s="25"/>
      <c r="V11" s="25"/>
      <c r="W11" s="25"/>
      <c r="X11" s="25"/>
      <c r="Y11" s="25"/>
      <c r="Z11" s="25"/>
      <c r="AA11" s="25"/>
      <c r="AB11" s="25">
        <v>4</v>
      </c>
      <c r="AK11" s="22">
        <v>165</v>
      </c>
      <c r="AO11" s="25"/>
      <c r="AQ11" s="25"/>
      <c r="AR11" s="27"/>
      <c r="AS11" s="27"/>
      <c r="AT11" s="27"/>
      <c r="BA11" s="25"/>
      <c r="BB11" s="25"/>
      <c r="BC11" s="25"/>
      <c r="BD11" s="25"/>
      <c r="BE11" s="25"/>
      <c r="BF11" s="25"/>
      <c r="BG11" s="25"/>
      <c r="BH11" s="25"/>
      <c r="BI11" s="25"/>
      <c r="BJ11" s="25"/>
      <c r="BK11" s="25"/>
      <c r="BL11" s="25"/>
      <c r="BM11" s="25"/>
      <c r="BN11" s="25"/>
      <c r="BO11" s="25"/>
      <c r="BP11" s="25"/>
      <c r="BQ11" s="25"/>
      <c r="BR11" s="25"/>
      <c r="BS11" s="25"/>
      <c r="BT11" s="25">
        <f t="shared" si="3"/>
        <v>169</v>
      </c>
      <c r="BU11" s="28">
        <f t="shared" si="0"/>
        <v>169</v>
      </c>
      <c r="BV11" s="25">
        <f t="shared" si="1"/>
        <v>1419.1666666666667</v>
      </c>
      <c r="BW11" s="25">
        <f t="shared" si="4"/>
        <v>239839.16666666669</v>
      </c>
      <c r="BX11" s="25">
        <v>239839.17</v>
      </c>
      <c r="BY11" s="36">
        <v>1703</v>
      </c>
      <c r="BZ11" s="22">
        <f t="shared" si="2"/>
        <v>287807</v>
      </c>
    </row>
    <row r="12" spans="1:80" ht="29.25" customHeight="1" x14ac:dyDescent="0.25">
      <c r="A12" s="23">
        <v>11</v>
      </c>
      <c r="B12" s="30" t="s">
        <v>99</v>
      </c>
      <c r="C12" s="25" t="s">
        <v>99</v>
      </c>
      <c r="D12" s="30" t="s">
        <v>100</v>
      </c>
      <c r="E12" s="29" t="s">
        <v>82</v>
      </c>
      <c r="F12" s="25"/>
      <c r="G12" s="25"/>
      <c r="H12" s="25"/>
      <c r="I12" s="25"/>
      <c r="J12" s="25"/>
      <c r="K12" s="25"/>
      <c r="L12" s="25"/>
      <c r="M12" s="25"/>
      <c r="N12" s="25"/>
      <c r="O12" s="25"/>
      <c r="P12" s="25"/>
      <c r="Q12" s="25"/>
      <c r="R12" s="25"/>
      <c r="S12" s="25"/>
      <c r="T12" s="25"/>
      <c r="U12" s="25"/>
      <c r="V12" s="25"/>
      <c r="W12" s="25"/>
      <c r="X12" s="25"/>
      <c r="Y12" s="25"/>
      <c r="Z12" s="25">
        <v>50</v>
      </c>
      <c r="AA12" s="27"/>
      <c r="AB12" s="25"/>
      <c r="AO12" s="25"/>
      <c r="AQ12" s="25"/>
      <c r="AR12" s="27"/>
      <c r="AS12" s="27"/>
      <c r="AT12" s="27"/>
      <c r="BA12" s="25"/>
      <c r="BB12" s="25"/>
      <c r="BC12" s="25"/>
      <c r="BD12" s="25"/>
      <c r="BE12" s="25"/>
      <c r="BF12" s="25"/>
      <c r="BG12" s="25"/>
      <c r="BH12" s="25"/>
      <c r="BI12" s="25"/>
      <c r="BJ12" s="25"/>
      <c r="BK12" s="25"/>
      <c r="BL12" s="25"/>
      <c r="BM12" s="25"/>
      <c r="BN12" s="25"/>
      <c r="BO12" s="25"/>
      <c r="BP12" s="25"/>
      <c r="BQ12" s="25"/>
      <c r="BR12" s="25"/>
      <c r="BS12" s="25"/>
      <c r="BT12" s="25">
        <f t="shared" si="3"/>
        <v>50</v>
      </c>
      <c r="BU12" s="28">
        <f t="shared" si="0"/>
        <v>50</v>
      </c>
      <c r="BV12" s="25">
        <f t="shared" si="1"/>
        <v>540</v>
      </c>
      <c r="BW12" s="25">
        <f t="shared" si="4"/>
        <v>27000</v>
      </c>
      <c r="BX12" s="25">
        <v>27000</v>
      </c>
      <c r="BY12" s="37">
        <v>648</v>
      </c>
      <c r="BZ12" s="22">
        <f t="shared" si="2"/>
        <v>32400</v>
      </c>
    </row>
    <row r="13" spans="1:80" ht="29.25" customHeight="1" x14ac:dyDescent="0.25">
      <c r="A13" s="29">
        <v>12</v>
      </c>
      <c r="B13" s="24" t="s">
        <v>101</v>
      </c>
      <c r="C13" s="21" t="s">
        <v>101</v>
      </c>
      <c r="D13" s="30" t="s">
        <v>102</v>
      </c>
      <c r="E13" s="29" t="s">
        <v>82</v>
      </c>
      <c r="F13" s="25"/>
      <c r="G13" s="25"/>
      <c r="H13" s="25"/>
      <c r="I13" s="25"/>
      <c r="J13" s="25"/>
      <c r="K13" s="25"/>
      <c r="L13" s="25"/>
      <c r="M13" s="25"/>
      <c r="N13" s="25"/>
      <c r="O13" s="25"/>
      <c r="P13" s="25"/>
      <c r="Q13" s="25"/>
      <c r="R13" s="25"/>
      <c r="S13" s="25"/>
      <c r="T13" s="25"/>
      <c r="U13" s="25"/>
      <c r="V13" s="25"/>
      <c r="W13" s="25"/>
      <c r="X13" s="25"/>
      <c r="Y13" s="25"/>
      <c r="Z13" s="25"/>
      <c r="AA13" s="25"/>
      <c r="AB13" s="25">
        <v>4</v>
      </c>
      <c r="AC13" s="25">
        <v>40</v>
      </c>
      <c r="AK13" s="22">
        <v>450</v>
      </c>
      <c r="AO13" s="25"/>
      <c r="AQ13" s="25"/>
      <c r="AR13" s="27"/>
      <c r="AS13" s="27"/>
      <c r="AT13" s="27"/>
      <c r="BA13" s="25"/>
      <c r="BB13" s="25"/>
      <c r="BC13" s="25"/>
      <c r="BD13" s="25"/>
      <c r="BE13" s="25"/>
      <c r="BF13" s="25"/>
      <c r="BG13" s="25"/>
      <c r="BH13" s="25"/>
      <c r="BI13" s="25"/>
      <c r="BJ13" s="25"/>
      <c r="BK13" s="25"/>
      <c r="BL13" s="25"/>
      <c r="BM13" s="25"/>
      <c r="BN13" s="25"/>
      <c r="BO13" s="25"/>
      <c r="BP13" s="25"/>
      <c r="BQ13" s="25"/>
      <c r="BR13" s="25"/>
      <c r="BS13" s="25"/>
      <c r="BT13" s="25">
        <f t="shared" si="3"/>
        <v>494</v>
      </c>
      <c r="BU13" s="28">
        <f t="shared" si="0"/>
        <v>494</v>
      </c>
      <c r="BV13" s="25">
        <f t="shared" si="1"/>
        <v>225</v>
      </c>
      <c r="BW13" s="25">
        <f t="shared" si="4"/>
        <v>111150</v>
      </c>
      <c r="BX13" s="25">
        <v>111150</v>
      </c>
      <c r="BY13" s="38">
        <v>270</v>
      </c>
      <c r="BZ13" s="22">
        <f t="shared" si="2"/>
        <v>133380</v>
      </c>
    </row>
    <row r="14" spans="1:80" ht="29.25" customHeight="1" x14ac:dyDescent="0.25">
      <c r="A14" s="23">
        <v>13</v>
      </c>
      <c r="B14" s="24" t="s">
        <v>103</v>
      </c>
      <c r="C14" s="21" t="s">
        <v>103</v>
      </c>
      <c r="D14" s="24" t="s">
        <v>104</v>
      </c>
      <c r="E14" s="39" t="s">
        <v>82</v>
      </c>
      <c r="F14" s="21"/>
      <c r="G14" s="21"/>
      <c r="H14" s="21"/>
      <c r="I14" s="21"/>
      <c r="J14" s="21"/>
      <c r="K14" s="21"/>
      <c r="L14" s="21"/>
      <c r="M14" s="21"/>
      <c r="N14" s="21"/>
      <c r="O14" s="21"/>
      <c r="P14" s="21"/>
      <c r="Q14" s="21"/>
      <c r="R14" s="21"/>
      <c r="S14" s="21"/>
      <c r="T14" s="25"/>
      <c r="U14" s="25"/>
      <c r="V14" s="25"/>
      <c r="W14" s="21"/>
      <c r="X14" s="21"/>
      <c r="Y14" s="21"/>
      <c r="Z14" s="21"/>
      <c r="AA14" s="21"/>
      <c r="AB14" s="21"/>
      <c r="AC14" s="21"/>
      <c r="AD14" s="21"/>
      <c r="AE14" s="21"/>
      <c r="AF14" s="21"/>
      <c r="AG14" s="21"/>
      <c r="AH14" s="21"/>
      <c r="AI14" s="21"/>
      <c r="AJ14" s="21"/>
      <c r="AK14" s="21"/>
      <c r="AL14" s="21"/>
      <c r="AM14" s="21"/>
      <c r="AN14" s="21"/>
      <c r="AO14" s="21"/>
      <c r="AP14" s="40"/>
      <c r="AQ14" s="25"/>
      <c r="AR14" s="21"/>
      <c r="AS14" s="21"/>
      <c r="AT14" s="21"/>
      <c r="AU14" s="21"/>
      <c r="AV14" s="21"/>
      <c r="AW14" s="21"/>
      <c r="AX14" s="21"/>
      <c r="AY14" s="21">
        <v>6</v>
      </c>
      <c r="BA14" s="25"/>
      <c r="BB14" s="25"/>
      <c r="BC14" s="25"/>
      <c r="BD14" s="25"/>
      <c r="BE14" s="25"/>
      <c r="BF14" s="25"/>
      <c r="BG14" s="25"/>
      <c r="BH14" s="25"/>
      <c r="BI14" s="25"/>
      <c r="BJ14" s="25"/>
      <c r="BK14" s="25"/>
      <c r="BL14" s="25"/>
      <c r="BM14" s="25"/>
      <c r="BN14" s="25"/>
      <c r="BO14" s="25"/>
      <c r="BP14" s="25"/>
      <c r="BQ14" s="25"/>
      <c r="BR14" s="25"/>
      <c r="BS14" s="25"/>
      <c r="BT14" s="25">
        <f t="shared" si="3"/>
        <v>6</v>
      </c>
      <c r="BU14" s="28">
        <f t="shared" si="0"/>
        <v>6</v>
      </c>
      <c r="BV14" s="25">
        <f t="shared" si="1"/>
        <v>16408.983333333334</v>
      </c>
      <c r="BW14" s="25">
        <f t="shared" si="4"/>
        <v>98453.9</v>
      </c>
      <c r="BX14" s="25">
        <v>98453.9</v>
      </c>
      <c r="BY14" s="41">
        <v>19690.78</v>
      </c>
      <c r="BZ14" s="22">
        <f t="shared" si="2"/>
        <v>118144.68</v>
      </c>
    </row>
    <row r="15" spans="1:80" ht="29.25" customHeight="1" x14ac:dyDescent="0.25">
      <c r="A15" s="29">
        <v>14</v>
      </c>
      <c r="B15" s="30" t="s">
        <v>105</v>
      </c>
      <c r="C15" s="25" t="s">
        <v>105</v>
      </c>
      <c r="D15" s="30" t="s">
        <v>106</v>
      </c>
      <c r="E15" s="29" t="s">
        <v>82</v>
      </c>
      <c r="F15" s="25"/>
      <c r="G15" s="25"/>
      <c r="H15" s="25"/>
      <c r="I15" s="25"/>
      <c r="J15" s="25"/>
      <c r="K15" s="25"/>
      <c r="L15" s="25"/>
      <c r="M15" s="25"/>
      <c r="N15" s="25"/>
      <c r="O15" s="25"/>
      <c r="P15" s="25"/>
      <c r="Q15" s="25"/>
      <c r="R15" s="25"/>
      <c r="S15" s="25"/>
      <c r="T15" s="25"/>
      <c r="U15" s="25"/>
      <c r="V15" s="25"/>
      <c r="W15" s="25"/>
      <c r="X15" s="25"/>
      <c r="Y15" s="25"/>
      <c r="Z15" s="25"/>
      <c r="AA15" s="25"/>
      <c r="AB15" s="25">
        <v>4</v>
      </c>
      <c r="AK15" s="22">
        <v>60</v>
      </c>
      <c r="AO15" s="25"/>
      <c r="AQ15" s="25"/>
      <c r="AR15" s="27"/>
      <c r="AS15" s="27"/>
      <c r="AT15" s="27"/>
      <c r="BA15" s="25"/>
      <c r="BB15" s="25"/>
      <c r="BC15" s="25"/>
      <c r="BD15" s="25"/>
      <c r="BE15" s="25"/>
      <c r="BF15" s="25"/>
      <c r="BG15" s="25"/>
      <c r="BH15" s="25"/>
      <c r="BI15" s="25"/>
      <c r="BJ15" s="25"/>
      <c r="BK15" s="25"/>
      <c r="BL15" s="25"/>
      <c r="BM15" s="25"/>
      <c r="BN15" s="25"/>
      <c r="BO15" s="25"/>
      <c r="BP15" s="25"/>
      <c r="BQ15" s="25"/>
      <c r="BR15" s="25"/>
      <c r="BS15" s="25"/>
      <c r="BT15" s="25">
        <f t="shared" si="3"/>
        <v>64</v>
      </c>
      <c r="BU15" s="28">
        <f t="shared" si="0"/>
        <v>64</v>
      </c>
      <c r="BV15" s="25">
        <f t="shared" si="1"/>
        <v>41930</v>
      </c>
      <c r="BW15" s="25">
        <f t="shared" si="4"/>
        <v>2683520</v>
      </c>
      <c r="BX15" s="25">
        <v>2683520</v>
      </c>
      <c r="BY15" s="36">
        <v>50316</v>
      </c>
      <c r="BZ15" s="22">
        <f t="shared" si="2"/>
        <v>3220224</v>
      </c>
    </row>
    <row r="16" spans="1:80" ht="29.25" customHeight="1" x14ac:dyDescent="0.25">
      <c r="A16" s="23">
        <v>15</v>
      </c>
      <c r="B16" s="30" t="s">
        <v>107</v>
      </c>
      <c r="C16" s="25" t="s">
        <v>107</v>
      </c>
      <c r="D16" s="30" t="s">
        <v>108</v>
      </c>
      <c r="E16" s="29" t="s">
        <v>82</v>
      </c>
      <c r="F16" s="25"/>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3"/>
      <c r="AG16" s="34"/>
      <c r="AH16" s="31"/>
      <c r="AI16" s="31"/>
      <c r="AJ16" s="31"/>
      <c r="AK16" s="33">
        <v>20000</v>
      </c>
      <c r="AL16" s="31"/>
      <c r="AM16" s="31">
        <v>5120</v>
      </c>
      <c r="AN16" s="34"/>
      <c r="AO16" s="34"/>
      <c r="AP16" s="31"/>
      <c r="AQ16" s="31"/>
      <c r="AR16" s="33"/>
      <c r="AS16" s="33"/>
      <c r="AT16" s="33"/>
      <c r="AU16" s="31"/>
      <c r="AV16" s="35"/>
      <c r="AW16" s="34"/>
      <c r="AX16" s="34"/>
      <c r="AY16" s="33"/>
      <c r="AZ16" s="31"/>
      <c r="BA16" s="31"/>
      <c r="BB16" s="31"/>
      <c r="BC16" s="31"/>
      <c r="BD16" s="31"/>
      <c r="BE16" s="31"/>
      <c r="BF16" s="31"/>
      <c r="BG16" s="31"/>
      <c r="BH16" s="31"/>
      <c r="BI16" s="31"/>
      <c r="BJ16" s="31"/>
      <c r="BK16" s="42"/>
      <c r="BL16" s="42"/>
      <c r="BM16" s="42"/>
      <c r="BN16" s="42"/>
      <c r="BO16" s="42"/>
      <c r="BP16" s="42"/>
      <c r="BQ16" s="42"/>
      <c r="BR16" s="42"/>
      <c r="BS16" s="42"/>
      <c r="BT16" s="25">
        <f t="shared" si="3"/>
        <v>25120</v>
      </c>
      <c r="BU16" s="28">
        <f t="shared" si="0"/>
        <v>25120</v>
      </c>
      <c r="BV16" s="25">
        <f t="shared" si="1"/>
        <v>7.458333333333333</v>
      </c>
      <c r="BW16" s="25">
        <f t="shared" si="4"/>
        <v>187353.33333333331</v>
      </c>
      <c r="BX16" s="25">
        <v>187353.34</v>
      </c>
      <c r="BY16" s="43">
        <v>8.9499999999999993</v>
      </c>
      <c r="BZ16" s="22">
        <f t="shared" si="2"/>
        <v>224823.99999999997</v>
      </c>
      <c r="CA16" s="20" t="s">
        <v>109</v>
      </c>
    </row>
    <row r="17" spans="1:79" ht="29.25" customHeight="1" x14ac:dyDescent="0.25">
      <c r="A17" s="29">
        <v>16</v>
      </c>
      <c r="B17" s="30" t="s">
        <v>110</v>
      </c>
      <c r="C17" s="25" t="s">
        <v>110</v>
      </c>
      <c r="D17" s="30" t="s">
        <v>110</v>
      </c>
      <c r="E17" s="29" t="s">
        <v>82</v>
      </c>
      <c r="F17" s="25"/>
      <c r="G17" s="25"/>
      <c r="H17" s="25"/>
      <c r="I17" s="25"/>
      <c r="J17" s="25"/>
      <c r="K17" s="25"/>
      <c r="L17" s="25"/>
      <c r="M17" s="25"/>
      <c r="N17" s="25"/>
      <c r="O17" s="25"/>
      <c r="P17" s="25"/>
      <c r="Q17" s="25"/>
      <c r="R17" s="25"/>
      <c r="S17" s="25"/>
      <c r="T17" s="25"/>
      <c r="U17" s="25"/>
      <c r="V17" s="25"/>
      <c r="W17" s="25"/>
      <c r="X17" s="25"/>
      <c r="Y17" s="25"/>
      <c r="Z17" s="25"/>
      <c r="AA17" s="25"/>
      <c r="AB17" s="25">
        <v>600</v>
      </c>
      <c r="AO17" s="25"/>
      <c r="AQ17" s="25"/>
      <c r="AR17" s="27"/>
      <c r="AS17" s="27"/>
      <c r="AT17" s="27"/>
      <c r="BA17" s="25"/>
      <c r="BB17" s="25"/>
      <c r="BC17" s="25"/>
      <c r="BD17" s="25"/>
      <c r="BE17" s="25"/>
      <c r="BF17" s="25"/>
      <c r="BG17" s="25"/>
      <c r="BH17" s="25"/>
      <c r="BI17" s="25"/>
      <c r="BJ17" s="25"/>
      <c r="BK17" s="25"/>
      <c r="BL17" s="25"/>
      <c r="BM17" s="25"/>
      <c r="BN17" s="25"/>
      <c r="BO17" s="25"/>
      <c r="BP17" s="25"/>
      <c r="BQ17" s="25"/>
      <c r="BR17" s="25"/>
      <c r="BS17" s="25"/>
      <c r="BT17" s="25">
        <f t="shared" si="3"/>
        <v>600</v>
      </c>
      <c r="BU17" s="28">
        <f t="shared" si="0"/>
        <v>600</v>
      </c>
      <c r="BV17" s="25">
        <f t="shared" si="1"/>
        <v>1.1000000000000001</v>
      </c>
      <c r="BW17" s="25">
        <f t="shared" si="4"/>
        <v>660</v>
      </c>
      <c r="BX17" s="25">
        <v>660</v>
      </c>
      <c r="BY17" s="44">
        <v>1.32</v>
      </c>
      <c r="BZ17" s="22">
        <f t="shared" si="2"/>
        <v>792</v>
      </c>
    </row>
    <row r="18" spans="1:79" ht="29.25" customHeight="1" x14ac:dyDescent="0.25">
      <c r="A18" s="23">
        <v>17</v>
      </c>
      <c r="B18" s="24" t="s">
        <v>111</v>
      </c>
      <c r="C18" s="21" t="s">
        <v>111</v>
      </c>
      <c r="D18" s="24" t="s">
        <v>112</v>
      </c>
      <c r="E18" s="23" t="s">
        <v>82</v>
      </c>
      <c r="F18" s="22"/>
      <c r="G18" s="22"/>
      <c r="H18" s="22"/>
      <c r="I18" s="22"/>
      <c r="J18" s="22"/>
      <c r="K18" s="22"/>
      <c r="L18" s="22"/>
      <c r="M18" s="22"/>
      <c r="N18" s="22"/>
      <c r="O18" s="22"/>
      <c r="P18" s="22"/>
      <c r="Q18" s="22"/>
      <c r="R18" s="22"/>
      <c r="S18" s="22"/>
      <c r="T18" s="25"/>
      <c r="U18" s="25"/>
      <c r="V18" s="25"/>
      <c r="W18" s="22"/>
      <c r="X18" s="22"/>
      <c r="Y18" s="22"/>
      <c r="Z18" s="22"/>
      <c r="AA18" s="22"/>
      <c r="AB18" s="22"/>
      <c r="AC18" s="22"/>
      <c r="AD18" s="22"/>
      <c r="AG18" s="22"/>
      <c r="AJ18" s="22"/>
      <c r="AK18" s="22">
        <v>300</v>
      </c>
      <c r="AO18" s="25"/>
      <c r="AQ18" s="25"/>
      <c r="AR18" s="27"/>
      <c r="AS18" s="27"/>
      <c r="AT18" s="27"/>
      <c r="BA18" s="25"/>
      <c r="BB18" s="25"/>
      <c r="BC18" s="25"/>
      <c r="BD18" s="25"/>
      <c r="BE18" s="25"/>
      <c r="BF18" s="25"/>
      <c r="BG18" s="25"/>
      <c r="BH18" s="25"/>
      <c r="BI18" s="25"/>
      <c r="BJ18" s="25"/>
      <c r="BK18" s="25"/>
      <c r="BL18" s="25"/>
      <c r="BM18" s="25"/>
      <c r="BN18" s="25"/>
      <c r="BO18" s="25"/>
      <c r="BP18" s="25"/>
      <c r="BQ18" s="25"/>
      <c r="BR18" s="25"/>
      <c r="BS18" s="25"/>
      <c r="BT18" s="25">
        <f t="shared" si="3"/>
        <v>300</v>
      </c>
      <c r="BU18" s="28">
        <f t="shared" si="0"/>
        <v>300</v>
      </c>
      <c r="BV18" s="25">
        <f t="shared" si="1"/>
        <v>25</v>
      </c>
      <c r="BW18" s="25">
        <f t="shared" si="4"/>
        <v>7500</v>
      </c>
      <c r="BX18" s="25">
        <v>7500</v>
      </c>
      <c r="BY18" s="22">
        <v>30</v>
      </c>
      <c r="BZ18" s="22">
        <f t="shared" si="2"/>
        <v>9000</v>
      </c>
    </row>
    <row r="19" spans="1:79" ht="29.25" customHeight="1" x14ac:dyDescent="0.25">
      <c r="A19" s="29">
        <v>18</v>
      </c>
      <c r="B19" s="24" t="s">
        <v>113</v>
      </c>
      <c r="C19" s="21" t="s">
        <v>113</v>
      </c>
      <c r="D19" s="24" t="s">
        <v>114</v>
      </c>
      <c r="E19" s="23" t="s">
        <v>82</v>
      </c>
      <c r="F19" s="22"/>
      <c r="G19" s="22"/>
      <c r="H19" s="22"/>
      <c r="I19" s="22"/>
      <c r="J19" s="22"/>
      <c r="K19" s="22"/>
      <c r="L19" s="22"/>
      <c r="M19" s="22"/>
      <c r="N19" s="22"/>
      <c r="O19" s="22"/>
      <c r="P19" s="22"/>
      <c r="Q19" s="22"/>
      <c r="R19" s="22"/>
      <c r="S19" s="22"/>
      <c r="T19" s="25"/>
      <c r="U19" s="25"/>
      <c r="V19" s="25"/>
      <c r="W19" s="22"/>
      <c r="X19" s="22"/>
      <c r="Y19" s="22"/>
      <c r="Z19" s="22"/>
      <c r="AA19" s="22"/>
      <c r="AB19" s="22"/>
      <c r="AC19" s="22"/>
      <c r="AD19" s="22"/>
      <c r="AG19" s="22"/>
      <c r="AJ19" s="22"/>
      <c r="AK19" s="22">
        <v>54</v>
      </c>
      <c r="AO19" s="25"/>
      <c r="AQ19" s="25"/>
      <c r="AR19" s="27"/>
      <c r="AS19" s="27"/>
      <c r="AT19" s="27"/>
      <c r="BA19" s="25"/>
      <c r="BB19" s="25"/>
      <c r="BC19" s="25"/>
      <c r="BD19" s="25"/>
      <c r="BE19" s="25"/>
      <c r="BF19" s="25"/>
      <c r="BG19" s="25"/>
      <c r="BH19" s="25"/>
      <c r="BI19" s="25"/>
      <c r="BJ19" s="25"/>
      <c r="BK19" s="25"/>
      <c r="BL19" s="25"/>
      <c r="BM19" s="25"/>
      <c r="BN19" s="25"/>
      <c r="BO19" s="25"/>
      <c r="BP19" s="25"/>
      <c r="BQ19" s="25"/>
      <c r="BR19" s="25"/>
      <c r="BS19" s="25"/>
      <c r="BT19" s="25">
        <f t="shared" si="3"/>
        <v>54</v>
      </c>
      <c r="BU19" s="28">
        <f t="shared" si="0"/>
        <v>54</v>
      </c>
      <c r="BV19" s="25">
        <f t="shared" si="1"/>
        <v>2956.666666666667</v>
      </c>
      <c r="BW19" s="25">
        <f t="shared" si="4"/>
        <v>159660.00000000003</v>
      </c>
      <c r="BX19" s="25">
        <v>159660</v>
      </c>
      <c r="BY19" s="22">
        <v>3548</v>
      </c>
      <c r="BZ19" s="22">
        <f t="shared" si="2"/>
        <v>191592</v>
      </c>
    </row>
    <row r="20" spans="1:79" ht="29.25" customHeight="1" x14ac:dyDescent="0.25">
      <c r="A20" s="23">
        <v>19</v>
      </c>
      <c r="B20" s="24" t="s">
        <v>115</v>
      </c>
      <c r="C20" s="21" t="s">
        <v>115</v>
      </c>
      <c r="D20" s="24" t="s">
        <v>116</v>
      </c>
      <c r="E20" s="23" t="s">
        <v>82</v>
      </c>
      <c r="F20" s="22"/>
      <c r="G20" s="22"/>
      <c r="H20" s="22"/>
      <c r="I20" s="22"/>
      <c r="J20" s="22"/>
      <c r="K20" s="22"/>
      <c r="L20" s="22"/>
      <c r="M20" s="22"/>
      <c r="N20" s="22"/>
      <c r="O20" s="22"/>
      <c r="P20" s="22"/>
      <c r="Q20" s="22"/>
      <c r="R20" s="22"/>
      <c r="S20" s="22"/>
      <c r="T20" s="25"/>
      <c r="U20" s="25"/>
      <c r="V20" s="25"/>
      <c r="W20" s="22"/>
      <c r="X20" s="22"/>
      <c r="Y20" s="22"/>
      <c r="Z20" s="22"/>
      <c r="AA20" s="22"/>
      <c r="AB20" s="22"/>
      <c r="AC20" s="22"/>
      <c r="AD20" s="22"/>
      <c r="AG20" s="22"/>
      <c r="AJ20" s="22"/>
      <c r="AK20" s="22">
        <v>100</v>
      </c>
      <c r="AO20" s="25"/>
      <c r="AQ20" s="25"/>
      <c r="AR20" s="27"/>
      <c r="AS20" s="27"/>
      <c r="AT20" s="27"/>
      <c r="BA20" s="25"/>
      <c r="BB20" s="25"/>
      <c r="BC20" s="25"/>
      <c r="BD20" s="25"/>
      <c r="BE20" s="25"/>
      <c r="BF20" s="25"/>
      <c r="BG20" s="25"/>
      <c r="BH20" s="25"/>
      <c r="BI20" s="25"/>
      <c r="BJ20" s="25"/>
      <c r="BK20" s="25"/>
      <c r="BL20" s="25"/>
      <c r="BM20" s="25"/>
      <c r="BN20" s="25"/>
      <c r="BO20" s="25"/>
      <c r="BP20" s="25"/>
      <c r="BQ20" s="25"/>
      <c r="BR20" s="25"/>
      <c r="BS20" s="25"/>
      <c r="BT20" s="25">
        <f t="shared" si="3"/>
        <v>100</v>
      </c>
      <c r="BU20" s="28">
        <f t="shared" si="0"/>
        <v>100</v>
      </c>
      <c r="BV20" s="25">
        <f t="shared" si="1"/>
        <v>430</v>
      </c>
      <c r="BW20" s="25">
        <f t="shared" si="4"/>
        <v>43000</v>
      </c>
      <c r="BX20" s="25">
        <v>43000</v>
      </c>
      <c r="BY20" s="22">
        <v>516</v>
      </c>
      <c r="BZ20" s="22">
        <f t="shared" si="2"/>
        <v>51600</v>
      </c>
    </row>
    <row r="21" spans="1:79" ht="29.25" customHeight="1" x14ac:dyDescent="0.25">
      <c r="A21" s="29">
        <v>20</v>
      </c>
      <c r="B21" s="30" t="s">
        <v>117</v>
      </c>
      <c r="C21" s="25" t="s">
        <v>117</v>
      </c>
      <c r="D21" s="30" t="s">
        <v>118</v>
      </c>
      <c r="E21" s="29" t="s">
        <v>82</v>
      </c>
      <c r="F21" s="25"/>
      <c r="G21" s="25"/>
      <c r="H21" s="25"/>
      <c r="I21" s="25"/>
      <c r="J21" s="25"/>
      <c r="K21" s="25"/>
      <c r="L21" s="25"/>
      <c r="M21" s="25"/>
      <c r="N21" s="25"/>
      <c r="O21" s="25"/>
      <c r="P21" s="25"/>
      <c r="Q21" s="25"/>
      <c r="R21" s="25"/>
      <c r="S21" s="25"/>
      <c r="T21" s="25"/>
      <c r="U21" s="25"/>
      <c r="V21" s="25"/>
      <c r="W21" s="25"/>
      <c r="X21" s="25"/>
      <c r="Y21" s="25"/>
      <c r="Z21" s="25">
        <v>2000</v>
      </c>
      <c r="AA21" s="27"/>
      <c r="AB21" s="25"/>
      <c r="AO21" s="25"/>
      <c r="AQ21" s="25"/>
      <c r="AR21" s="27"/>
      <c r="AS21" s="27"/>
      <c r="AT21" s="27"/>
      <c r="BA21" s="25"/>
      <c r="BB21" s="25"/>
      <c r="BC21" s="25"/>
      <c r="BD21" s="25"/>
      <c r="BE21" s="25"/>
      <c r="BF21" s="25"/>
      <c r="BG21" s="25"/>
      <c r="BH21" s="25"/>
      <c r="BI21" s="25"/>
      <c r="BJ21" s="25"/>
      <c r="BK21" s="25"/>
      <c r="BL21" s="25"/>
      <c r="BM21" s="25"/>
      <c r="BN21" s="25"/>
      <c r="BO21" s="25"/>
      <c r="BP21" s="25"/>
      <c r="BQ21" s="25"/>
      <c r="BR21" s="25"/>
      <c r="BS21" s="25"/>
      <c r="BT21" s="25">
        <f t="shared" si="3"/>
        <v>2000</v>
      </c>
      <c r="BU21" s="28">
        <f t="shared" si="0"/>
        <v>2000</v>
      </c>
      <c r="BV21" s="25">
        <f t="shared" si="1"/>
        <v>3</v>
      </c>
      <c r="BW21" s="25">
        <f t="shared" si="4"/>
        <v>6000</v>
      </c>
      <c r="BX21" s="25">
        <v>6000</v>
      </c>
      <c r="BY21" s="45">
        <v>3.6</v>
      </c>
      <c r="BZ21" s="22">
        <f t="shared" si="2"/>
        <v>7200</v>
      </c>
    </row>
    <row r="22" spans="1:79" ht="29.25" customHeight="1" x14ac:dyDescent="0.25">
      <c r="A22" s="23">
        <v>21</v>
      </c>
      <c r="B22" s="30" t="s">
        <v>119</v>
      </c>
      <c r="C22" s="25" t="s">
        <v>119</v>
      </c>
      <c r="D22" s="30" t="s">
        <v>120</v>
      </c>
      <c r="E22" s="29" t="s">
        <v>82</v>
      </c>
      <c r="F22" s="25"/>
      <c r="G22" s="25"/>
      <c r="H22" s="25"/>
      <c r="I22" s="25"/>
      <c r="J22" s="25"/>
      <c r="K22" s="25"/>
      <c r="L22" s="25"/>
      <c r="M22" s="25"/>
      <c r="N22" s="25"/>
      <c r="O22" s="25"/>
      <c r="P22" s="25"/>
      <c r="Q22" s="25"/>
      <c r="R22" s="25"/>
      <c r="S22" s="25"/>
      <c r="T22" s="25"/>
      <c r="U22" s="25"/>
      <c r="V22" s="25"/>
      <c r="W22" s="25"/>
      <c r="X22" s="25"/>
      <c r="Y22" s="25"/>
      <c r="Z22" s="25">
        <v>150</v>
      </c>
      <c r="AA22" s="27"/>
      <c r="AB22" s="25"/>
      <c r="AO22" s="25"/>
      <c r="AQ22" s="25"/>
      <c r="AR22" s="27"/>
      <c r="AS22" s="27"/>
      <c r="AT22" s="27"/>
      <c r="BA22" s="25"/>
      <c r="BB22" s="25"/>
      <c r="BC22" s="25"/>
      <c r="BD22" s="25"/>
      <c r="BE22" s="25"/>
      <c r="BF22" s="25"/>
      <c r="BG22" s="25"/>
      <c r="BH22" s="25"/>
      <c r="BI22" s="25"/>
      <c r="BJ22" s="25"/>
      <c r="BK22" s="25"/>
      <c r="BL22" s="25"/>
      <c r="BM22" s="25"/>
      <c r="BN22" s="25"/>
      <c r="BO22" s="25"/>
      <c r="BP22" s="25"/>
      <c r="BQ22" s="25"/>
      <c r="BR22" s="25"/>
      <c r="BS22" s="25"/>
      <c r="BT22" s="25">
        <f t="shared" si="3"/>
        <v>150</v>
      </c>
      <c r="BU22" s="28">
        <f t="shared" si="0"/>
        <v>150</v>
      </c>
      <c r="BV22" s="25">
        <f t="shared" si="1"/>
        <v>2.5</v>
      </c>
      <c r="BW22" s="25">
        <f t="shared" si="4"/>
        <v>375</v>
      </c>
      <c r="BX22" s="25">
        <v>375</v>
      </c>
      <c r="BY22" s="46">
        <v>3</v>
      </c>
      <c r="BZ22" s="22">
        <f t="shared" si="2"/>
        <v>450</v>
      </c>
    </row>
    <row r="23" spans="1:79" ht="29.25" customHeight="1" x14ac:dyDescent="0.25">
      <c r="A23" s="29">
        <v>22</v>
      </c>
      <c r="B23" s="24" t="s">
        <v>121</v>
      </c>
      <c r="C23" s="21" t="s">
        <v>121</v>
      </c>
      <c r="D23" s="24" t="s">
        <v>122</v>
      </c>
      <c r="E23" s="23" t="s">
        <v>82</v>
      </c>
      <c r="F23" s="22"/>
      <c r="G23" s="22"/>
      <c r="H23" s="22"/>
      <c r="I23" s="22"/>
      <c r="J23" s="22"/>
      <c r="K23" s="22"/>
      <c r="L23" s="22"/>
      <c r="M23" s="22"/>
      <c r="N23" s="22"/>
      <c r="O23" s="22"/>
      <c r="P23" s="22"/>
      <c r="Q23" s="22"/>
      <c r="R23" s="22"/>
      <c r="S23" s="22"/>
      <c r="T23" s="25"/>
      <c r="U23" s="25"/>
      <c r="V23" s="25"/>
      <c r="W23" s="22"/>
      <c r="X23" s="22"/>
      <c r="Y23" s="22"/>
      <c r="Z23" s="22"/>
      <c r="AA23" s="22"/>
      <c r="AB23" s="22"/>
      <c r="AC23" s="22"/>
      <c r="AD23" s="22"/>
      <c r="AG23" s="22"/>
      <c r="AJ23" s="22"/>
      <c r="AK23" s="22">
        <v>25</v>
      </c>
      <c r="AO23" s="25"/>
      <c r="AQ23" s="25"/>
      <c r="AR23" s="27"/>
      <c r="AS23" s="27"/>
      <c r="AT23" s="27"/>
      <c r="BA23" s="25"/>
      <c r="BB23" s="25"/>
      <c r="BC23" s="25"/>
      <c r="BD23" s="25"/>
      <c r="BE23" s="25"/>
      <c r="BF23" s="25"/>
      <c r="BG23" s="25"/>
      <c r="BH23" s="25"/>
      <c r="BI23" s="25"/>
      <c r="BJ23" s="25"/>
      <c r="BK23" s="25"/>
      <c r="BL23" s="25"/>
      <c r="BM23" s="25"/>
      <c r="BN23" s="25"/>
      <c r="BO23" s="25"/>
      <c r="BP23" s="25"/>
      <c r="BQ23" s="25"/>
      <c r="BR23" s="25"/>
      <c r="BS23" s="25"/>
      <c r="BT23" s="25">
        <f t="shared" si="3"/>
        <v>25</v>
      </c>
      <c r="BU23" s="28">
        <f t="shared" si="0"/>
        <v>25</v>
      </c>
      <c r="BV23" s="25">
        <f t="shared" si="1"/>
        <v>2916.666666666667</v>
      </c>
      <c r="BW23" s="25">
        <f t="shared" si="4"/>
        <v>72916.666666666672</v>
      </c>
      <c r="BX23" s="25">
        <v>72916.67</v>
      </c>
      <c r="BY23" s="22">
        <v>3500</v>
      </c>
      <c r="BZ23" s="22">
        <f t="shared" si="2"/>
        <v>87500</v>
      </c>
    </row>
    <row r="24" spans="1:79" ht="29.25" customHeight="1" x14ac:dyDescent="0.25">
      <c r="A24" s="23">
        <v>23</v>
      </c>
      <c r="B24" s="24" t="s">
        <v>123</v>
      </c>
      <c r="C24" s="21" t="s">
        <v>123</v>
      </c>
      <c r="D24" s="24" t="s">
        <v>124</v>
      </c>
      <c r="E24" s="23" t="s">
        <v>82</v>
      </c>
      <c r="F24" s="22"/>
      <c r="G24" s="22"/>
      <c r="H24" s="22"/>
      <c r="I24" s="22"/>
      <c r="J24" s="22"/>
      <c r="K24" s="22">
        <v>1000</v>
      </c>
      <c r="L24" s="22"/>
      <c r="M24" s="27"/>
      <c r="N24" s="47"/>
      <c r="O24" s="48"/>
      <c r="P24" s="22"/>
      <c r="Q24" s="25"/>
      <c r="R24" s="25"/>
      <c r="S24" s="27"/>
      <c r="T24" s="25"/>
      <c r="U24" s="25"/>
      <c r="V24" s="25"/>
      <c r="W24" s="25"/>
      <c r="X24" s="25"/>
      <c r="Y24" s="25"/>
      <c r="Z24" s="25"/>
      <c r="AA24" s="27"/>
      <c r="AB24" s="25"/>
      <c r="AO24" s="25"/>
      <c r="AQ24" s="25"/>
      <c r="AR24" s="27"/>
      <c r="AS24" s="27"/>
      <c r="AT24" s="27"/>
      <c r="BA24" s="25"/>
      <c r="BB24" s="25"/>
      <c r="BC24" s="25"/>
      <c r="BD24" s="25"/>
      <c r="BE24" s="25"/>
      <c r="BF24" s="25"/>
      <c r="BG24" s="25"/>
      <c r="BH24" s="25"/>
      <c r="BI24" s="25"/>
      <c r="BJ24" s="25"/>
      <c r="BK24" s="25"/>
      <c r="BL24" s="25"/>
      <c r="BM24" s="25"/>
      <c r="BN24" s="25"/>
      <c r="BO24" s="25"/>
      <c r="BP24" s="25"/>
      <c r="BQ24" s="25"/>
      <c r="BR24" s="25"/>
      <c r="BS24" s="25"/>
      <c r="BT24" s="25">
        <f t="shared" si="3"/>
        <v>1000</v>
      </c>
      <c r="BU24" s="28">
        <f t="shared" si="0"/>
        <v>1000</v>
      </c>
      <c r="BV24" s="25">
        <f t="shared" si="1"/>
        <v>20.833333333333336</v>
      </c>
      <c r="BW24" s="25">
        <f t="shared" si="4"/>
        <v>20833.333333333336</v>
      </c>
      <c r="BX24" s="25">
        <v>20833.34</v>
      </c>
      <c r="BY24" s="49">
        <v>25</v>
      </c>
      <c r="BZ24" s="22">
        <f t="shared" si="2"/>
        <v>25000</v>
      </c>
      <c r="CA24" s="50" t="s">
        <v>125</v>
      </c>
    </row>
    <row r="25" spans="1:79" ht="29.25" customHeight="1" x14ac:dyDescent="0.25">
      <c r="A25" s="29">
        <v>24</v>
      </c>
      <c r="B25" s="30" t="s">
        <v>126</v>
      </c>
      <c r="C25" s="25" t="s">
        <v>126</v>
      </c>
      <c r="D25" s="30" t="s">
        <v>127</v>
      </c>
      <c r="E25" s="51" t="s">
        <v>82</v>
      </c>
      <c r="F25" s="26"/>
      <c r="G25" s="26"/>
      <c r="H25" s="26"/>
      <c r="I25" s="26"/>
      <c r="J25" s="26"/>
      <c r="K25" s="26"/>
      <c r="L25" s="26"/>
      <c r="M25" s="26"/>
      <c r="N25" s="26"/>
      <c r="O25" s="26"/>
      <c r="P25" s="26"/>
      <c r="Q25" s="26"/>
      <c r="R25" s="26"/>
      <c r="S25" s="26"/>
      <c r="T25" s="25"/>
      <c r="U25" s="25"/>
      <c r="V25" s="25"/>
      <c r="W25" s="26"/>
      <c r="X25" s="26"/>
      <c r="Y25" s="26"/>
      <c r="Z25" s="26"/>
      <c r="AA25" s="26"/>
      <c r="AB25" s="26"/>
      <c r="AC25" s="26"/>
      <c r="AD25" s="26"/>
      <c r="AE25" s="26"/>
      <c r="AF25" s="26"/>
      <c r="AJ25" s="26"/>
      <c r="AK25" s="26"/>
      <c r="AL25" s="26"/>
      <c r="AM25" s="25">
        <v>70</v>
      </c>
      <c r="AO25" s="25"/>
      <c r="AQ25" s="25"/>
      <c r="AR25" s="26"/>
      <c r="AS25" s="26"/>
      <c r="AT25" s="26"/>
      <c r="AU25" s="26"/>
      <c r="AV25" s="26"/>
      <c r="AY25" s="21"/>
      <c r="BA25" s="25"/>
      <c r="BB25" s="25"/>
      <c r="BC25" s="25"/>
      <c r="BD25" s="25"/>
      <c r="BE25" s="25"/>
      <c r="BF25" s="25"/>
      <c r="BG25" s="25"/>
      <c r="BH25" s="25"/>
      <c r="BI25" s="25"/>
      <c r="BJ25" s="25"/>
      <c r="BK25" s="25"/>
      <c r="BL25" s="25"/>
      <c r="BM25" s="25"/>
      <c r="BN25" s="25"/>
      <c r="BO25" s="25"/>
      <c r="BP25" s="25"/>
      <c r="BQ25" s="25"/>
      <c r="BR25" s="25"/>
      <c r="BS25" s="25"/>
      <c r="BT25" s="25">
        <f t="shared" si="3"/>
        <v>70</v>
      </c>
      <c r="BU25" s="28">
        <f t="shared" si="0"/>
        <v>70</v>
      </c>
      <c r="BV25" s="25">
        <f t="shared" si="1"/>
        <v>250</v>
      </c>
      <c r="BW25" s="25">
        <f t="shared" si="4"/>
        <v>17500</v>
      </c>
      <c r="BX25" s="25">
        <v>17500</v>
      </c>
      <c r="BY25" s="33">
        <v>300</v>
      </c>
      <c r="BZ25" s="22">
        <f t="shared" si="2"/>
        <v>21000</v>
      </c>
      <c r="CA25" s="52"/>
    </row>
    <row r="26" spans="1:79" ht="29.25" customHeight="1" x14ac:dyDescent="0.25">
      <c r="A26" s="23">
        <v>25</v>
      </c>
      <c r="B26" s="30" t="s">
        <v>128</v>
      </c>
      <c r="C26" s="25" t="s">
        <v>128</v>
      </c>
      <c r="D26" s="30" t="s">
        <v>129</v>
      </c>
      <c r="E26" s="51" t="s">
        <v>82</v>
      </c>
      <c r="F26" s="26"/>
      <c r="G26" s="26"/>
      <c r="H26" s="26"/>
      <c r="I26" s="26"/>
      <c r="J26" s="26"/>
      <c r="K26" s="26"/>
      <c r="L26" s="26"/>
      <c r="M26" s="26"/>
      <c r="N26" s="26"/>
      <c r="O26" s="26"/>
      <c r="P26" s="26"/>
      <c r="Q26" s="26"/>
      <c r="R26" s="26"/>
      <c r="S26" s="26"/>
      <c r="T26" s="25"/>
      <c r="U26" s="25"/>
      <c r="V26" s="25"/>
      <c r="W26" s="26"/>
      <c r="X26" s="26"/>
      <c r="Y26" s="26"/>
      <c r="Z26" s="26"/>
      <c r="AA26" s="26"/>
      <c r="AB26" s="26"/>
      <c r="AC26" s="26"/>
      <c r="AD26" s="26"/>
      <c r="AE26" s="26"/>
      <c r="AF26" s="26"/>
      <c r="AJ26" s="26"/>
      <c r="AK26" s="26"/>
      <c r="AL26" s="26"/>
      <c r="AM26" s="25">
        <v>625</v>
      </c>
      <c r="AO26" s="25"/>
      <c r="AQ26" s="25"/>
      <c r="AR26" s="26"/>
      <c r="AS26" s="26"/>
      <c r="AT26" s="26"/>
      <c r="AU26" s="26"/>
      <c r="AV26" s="26"/>
      <c r="AY26" s="21"/>
      <c r="BA26" s="25"/>
      <c r="BB26" s="25"/>
      <c r="BC26" s="25"/>
      <c r="BD26" s="25"/>
      <c r="BE26" s="25"/>
      <c r="BF26" s="25"/>
      <c r="BG26" s="25"/>
      <c r="BH26" s="25"/>
      <c r="BI26" s="25"/>
      <c r="BJ26" s="25"/>
      <c r="BK26" s="25"/>
      <c r="BL26" s="25"/>
      <c r="BM26" s="25"/>
      <c r="BN26" s="25"/>
      <c r="BO26" s="25"/>
      <c r="BP26" s="25"/>
      <c r="BQ26" s="25"/>
      <c r="BR26" s="25"/>
      <c r="BS26" s="25"/>
      <c r="BT26" s="25">
        <f t="shared" si="3"/>
        <v>625</v>
      </c>
      <c r="BU26" s="28">
        <f t="shared" si="0"/>
        <v>625</v>
      </c>
      <c r="BV26" s="25">
        <f t="shared" si="1"/>
        <v>21.158333333333335</v>
      </c>
      <c r="BW26" s="25">
        <f t="shared" si="4"/>
        <v>13223.958333333334</v>
      </c>
      <c r="BX26" s="25">
        <v>13223.960000000001</v>
      </c>
      <c r="BY26" s="25">
        <v>25.39</v>
      </c>
      <c r="BZ26" s="22">
        <f t="shared" si="2"/>
        <v>15868.75</v>
      </c>
      <c r="CA26" s="20">
        <f>3174/125</f>
        <v>25.391999999999999</v>
      </c>
    </row>
    <row r="27" spans="1:79" ht="29.25" customHeight="1" x14ac:dyDescent="0.25">
      <c r="A27" s="29">
        <v>26</v>
      </c>
      <c r="B27" s="30" t="s">
        <v>130</v>
      </c>
      <c r="C27" s="25" t="s">
        <v>130</v>
      </c>
      <c r="D27" s="30" t="s">
        <v>131</v>
      </c>
      <c r="E27" s="51" t="s">
        <v>82</v>
      </c>
      <c r="F27" s="26"/>
      <c r="G27" s="26"/>
      <c r="H27" s="26"/>
      <c r="I27" s="26"/>
      <c r="J27" s="26"/>
      <c r="K27" s="26"/>
      <c r="L27" s="26"/>
      <c r="M27" s="26"/>
      <c r="N27" s="26"/>
      <c r="O27" s="26"/>
      <c r="P27" s="26"/>
      <c r="Q27" s="26"/>
      <c r="R27" s="26"/>
      <c r="S27" s="26"/>
      <c r="T27" s="25"/>
      <c r="U27" s="25"/>
      <c r="V27" s="25"/>
      <c r="W27" s="26"/>
      <c r="X27" s="26"/>
      <c r="Y27" s="26"/>
      <c r="Z27" s="26"/>
      <c r="AA27" s="26"/>
      <c r="AB27" s="26"/>
      <c r="AC27" s="26"/>
      <c r="AD27" s="26"/>
      <c r="AE27" s="26"/>
      <c r="AF27" s="26"/>
      <c r="AJ27" s="26"/>
      <c r="AK27" s="26"/>
      <c r="AL27" s="26"/>
      <c r="AM27" s="25">
        <v>1875</v>
      </c>
      <c r="AO27" s="25"/>
      <c r="AQ27" s="25"/>
      <c r="AR27" s="26"/>
      <c r="AS27" s="26"/>
      <c r="AT27" s="26"/>
      <c r="AU27" s="26"/>
      <c r="AV27" s="26"/>
      <c r="AY27" s="21"/>
      <c r="BA27" s="25"/>
      <c r="BB27" s="25"/>
      <c r="BC27" s="25"/>
      <c r="BD27" s="25"/>
      <c r="BE27" s="25"/>
      <c r="BF27" s="25"/>
      <c r="BG27" s="25"/>
      <c r="BH27" s="25"/>
      <c r="BI27" s="25"/>
      <c r="BJ27" s="25"/>
      <c r="BK27" s="25"/>
      <c r="BL27" s="25"/>
      <c r="BM27" s="25"/>
      <c r="BN27" s="25"/>
      <c r="BO27" s="25"/>
      <c r="BP27" s="25"/>
      <c r="BQ27" s="25"/>
      <c r="BR27" s="25"/>
      <c r="BS27" s="25"/>
      <c r="BT27" s="25">
        <f t="shared" si="3"/>
        <v>1875</v>
      </c>
      <c r="BU27" s="28">
        <f t="shared" si="0"/>
        <v>1875</v>
      </c>
      <c r="BV27" s="25">
        <f t="shared" si="1"/>
        <v>28.200000000000003</v>
      </c>
      <c r="BW27" s="25">
        <f t="shared" si="4"/>
        <v>52875.000000000007</v>
      </c>
      <c r="BX27" s="25">
        <v>52875</v>
      </c>
      <c r="BY27" s="25">
        <v>33.840000000000003</v>
      </c>
      <c r="BZ27" s="22">
        <f t="shared" si="2"/>
        <v>63450.000000000007</v>
      </c>
    </row>
    <row r="28" spans="1:79" ht="29.25" customHeight="1" x14ac:dyDescent="0.25">
      <c r="A28" s="23">
        <v>27</v>
      </c>
      <c r="B28" s="30" t="s">
        <v>132</v>
      </c>
      <c r="C28" s="25" t="s">
        <v>132</v>
      </c>
      <c r="D28" s="30" t="s">
        <v>133</v>
      </c>
      <c r="E28" s="51" t="s">
        <v>82</v>
      </c>
      <c r="F28" s="26"/>
      <c r="G28" s="26"/>
      <c r="H28" s="26"/>
      <c r="I28" s="26"/>
      <c r="J28" s="26"/>
      <c r="K28" s="26"/>
      <c r="L28" s="26"/>
      <c r="M28" s="26"/>
      <c r="N28" s="26"/>
      <c r="O28" s="26"/>
      <c r="P28" s="26"/>
      <c r="Q28" s="26"/>
      <c r="R28" s="26"/>
      <c r="S28" s="26"/>
      <c r="T28" s="25"/>
      <c r="U28" s="25"/>
      <c r="V28" s="25"/>
      <c r="W28" s="26"/>
      <c r="X28" s="26"/>
      <c r="Y28" s="26"/>
      <c r="Z28" s="26"/>
      <c r="AA28" s="26"/>
      <c r="AB28" s="26"/>
      <c r="AC28" s="26"/>
      <c r="AD28" s="26"/>
      <c r="AE28" s="26"/>
      <c r="AF28" s="26"/>
      <c r="AJ28" s="26"/>
      <c r="AK28" s="26"/>
      <c r="AL28" s="26"/>
      <c r="AM28" s="25">
        <v>500</v>
      </c>
      <c r="AO28" s="25"/>
      <c r="AQ28" s="25"/>
      <c r="AR28" s="26"/>
      <c r="AS28" s="26"/>
      <c r="AT28" s="26"/>
      <c r="AU28" s="26"/>
      <c r="AV28" s="26"/>
      <c r="AY28" s="21"/>
      <c r="BA28" s="25"/>
      <c r="BB28" s="25"/>
      <c r="BC28" s="25"/>
      <c r="BD28" s="25"/>
      <c r="BE28" s="25"/>
      <c r="BF28" s="25"/>
      <c r="BG28" s="25"/>
      <c r="BH28" s="25"/>
      <c r="BI28" s="25"/>
      <c r="BJ28" s="25"/>
      <c r="BK28" s="25"/>
      <c r="BL28" s="25"/>
      <c r="BM28" s="25"/>
      <c r="BN28" s="25"/>
      <c r="BO28" s="25"/>
      <c r="BP28" s="25"/>
      <c r="BQ28" s="25"/>
      <c r="BR28" s="25"/>
      <c r="BS28" s="25"/>
      <c r="BT28" s="25">
        <f t="shared" si="3"/>
        <v>500</v>
      </c>
      <c r="BU28" s="28">
        <f t="shared" si="0"/>
        <v>500</v>
      </c>
      <c r="BV28" s="25">
        <f t="shared" si="1"/>
        <v>10.791666666666666</v>
      </c>
      <c r="BW28" s="25">
        <f t="shared" si="4"/>
        <v>5395.833333333333</v>
      </c>
      <c r="BX28" s="25">
        <v>5395.84</v>
      </c>
      <c r="BY28" s="25">
        <v>12.95</v>
      </c>
      <c r="BZ28" s="22">
        <f t="shared" si="2"/>
        <v>6475</v>
      </c>
      <c r="CA28" s="20">
        <f>1295/100</f>
        <v>12.95</v>
      </c>
    </row>
    <row r="29" spans="1:79" ht="29.25" customHeight="1" x14ac:dyDescent="0.25">
      <c r="A29" s="29">
        <v>28</v>
      </c>
      <c r="B29" s="30" t="s">
        <v>134</v>
      </c>
      <c r="C29" s="25" t="s">
        <v>134</v>
      </c>
      <c r="D29" s="30" t="s">
        <v>135</v>
      </c>
      <c r="E29" s="29" t="s">
        <v>82</v>
      </c>
      <c r="F29" s="25"/>
      <c r="G29" s="31"/>
      <c r="H29" s="31"/>
      <c r="I29" s="31"/>
      <c r="J29" s="31"/>
      <c r="K29" s="31"/>
      <c r="L29" s="31"/>
      <c r="M29" s="31"/>
      <c r="N29" s="31"/>
      <c r="O29" s="31"/>
      <c r="P29" s="31"/>
      <c r="Q29" s="31"/>
      <c r="R29" s="31"/>
      <c r="S29" s="31"/>
      <c r="T29" s="31"/>
      <c r="U29" s="31"/>
      <c r="V29" s="31"/>
      <c r="W29" s="31"/>
      <c r="X29" s="31"/>
      <c r="Y29" s="31"/>
      <c r="Z29" s="31"/>
      <c r="AA29" s="31"/>
      <c r="AB29" s="31"/>
      <c r="AC29" s="31">
        <v>200</v>
      </c>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25">
        <f t="shared" si="3"/>
        <v>200</v>
      </c>
      <c r="BU29" s="28">
        <f t="shared" si="0"/>
        <v>200</v>
      </c>
      <c r="BV29" s="25">
        <f t="shared" si="1"/>
        <v>250</v>
      </c>
      <c r="BW29" s="25">
        <f t="shared" si="4"/>
        <v>50000</v>
      </c>
      <c r="BX29" s="25">
        <v>50000</v>
      </c>
      <c r="BY29" s="32">
        <v>300</v>
      </c>
      <c r="BZ29" s="22">
        <f t="shared" si="2"/>
        <v>60000</v>
      </c>
      <c r="CA29" s="20" t="s">
        <v>83</v>
      </c>
    </row>
    <row r="30" spans="1:79" ht="29.25" customHeight="1" x14ac:dyDescent="0.25">
      <c r="A30" s="23">
        <v>29</v>
      </c>
      <c r="B30" s="30" t="s">
        <v>136</v>
      </c>
      <c r="C30" s="25" t="s">
        <v>136</v>
      </c>
      <c r="D30" s="30" t="s">
        <v>137</v>
      </c>
      <c r="E30" s="51" t="s">
        <v>82</v>
      </c>
      <c r="F30" s="26"/>
      <c r="G30" s="26"/>
      <c r="H30" s="26"/>
      <c r="I30" s="26"/>
      <c r="J30" s="26"/>
      <c r="K30" s="26"/>
      <c r="L30" s="26"/>
      <c r="M30" s="26"/>
      <c r="N30" s="26"/>
      <c r="O30" s="26"/>
      <c r="P30" s="26"/>
      <c r="Q30" s="26"/>
      <c r="R30" s="26"/>
      <c r="S30" s="26"/>
      <c r="T30" s="25"/>
      <c r="U30" s="25"/>
      <c r="V30" s="25"/>
      <c r="W30" s="26"/>
      <c r="X30" s="26"/>
      <c r="Y30" s="26"/>
      <c r="Z30" s="26"/>
      <c r="AA30" s="26"/>
      <c r="AB30" s="26"/>
      <c r="AC30" s="26"/>
      <c r="AD30" s="26"/>
      <c r="AF30" s="26"/>
      <c r="AG30" s="26">
        <v>500</v>
      </c>
      <c r="AO30" s="25"/>
      <c r="AQ30" s="25"/>
      <c r="AR30" s="27"/>
      <c r="AS30" s="27"/>
      <c r="AT30" s="27"/>
      <c r="BA30" s="25"/>
      <c r="BB30" s="25"/>
      <c r="BC30" s="25"/>
      <c r="BD30" s="25"/>
      <c r="BE30" s="25"/>
      <c r="BF30" s="25"/>
      <c r="BG30" s="25"/>
      <c r="BH30" s="25"/>
      <c r="BI30" s="25"/>
      <c r="BJ30" s="25"/>
      <c r="BK30" s="25"/>
      <c r="BL30" s="25"/>
      <c r="BM30" s="25"/>
      <c r="BN30" s="25"/>
      <c r="BO30" s="25"/>
      <c r="BP30" s="25"/>
      <c r="BQ30" s="25"/>
      <c r="BR30" s="25"/>
      <c r="BS30" s="25"/>
      <c r="BT30" s="25">
        <f t="shared" si="3"/>
        <v>500</v>
      </c>
      <c r="BU30" s="28">
        <f t="shared" si="0"/>
        <v>500</v>
      </c>
      <c r="BV30" s="25">
        <f t="shared" si="1"/>
        <v>37.5</v>
      </c>
      <c r="BW30" s="25">
        <f t="shared" si="4"/>
        <v>18750</v>
      </c>
      <c r="BX30" s="25">
        <v>18750</v>
      </c>
      <c r="BY30" s="53">
        <v>45</v>
      </c>
      <c r="BZ30" s="22">
        <f t="shared" si="2"/>
        <v>22500</v>
      </c>
    </row>
    <row r="31" spans="1:79" ht="29.25" customHeight="1" x14ac:dyDescent="0.25">
      <c r="A31" s="29">
        <v>30</v>
      </c>
      <c r="B31" s="30" t="s">
        <v>138</v>
      </c>
      <c r="C31" s="25" t="s">
        <v>138</v>
      </c>
      <c r="D31" s="30" t="s">
        <v>139</v>
      </c>
      <c r="E31" s="51" t="s">
        <v>82</v>
      </c>
      <c r="F31" s="26"/>
      <c r="G31" s="26"/>
      <c r="H31" s="26"/>
      <c r="I31" s="26"/>
      <c r="J31" s="26"/>
      <c r="K31" s="26"/>
      <c r="L31" s="26"/>
      <c r="M31" s="26"/>
      <c r="N31" s="26"/>
      <c r="O31" s="26"/>
      <c r="P31" s="26"/>
      <c r="Q31" s="26"/>
      <c r="R31" s="26"/>
      <c r="S31" s="26"/>
      <c r="T31" s="25"/>
      <c r="U31" s="25"/>
      <c r="V31" s="25"/>
      <c r="W31" s="26"/>
      <c r="X31" s="26"/>
      <c r="Y31" s="26"/>
      <c r="Z31" s="26"/>
      <c r="AA31" s="26"/>
      <c r="AB31" s="26"/>
      <c r="AC31" s="26"/>
      <c r="AD31" s="26"/>
      <c r="AE31" s="26"/>
      <c r="AF31" s="26"/>
      <c r="AJ31" s="26"/>
      <c r="AK31" s="26"/>
      <c r="AL31" s="26"/>
      <c r="AM31" s="25">
        <v>300</v>
      </c>
      <c r="AO31" s="25"/>
      <c r="AQ31" s="25"/>
      <c r="AR31" s="26"/>
      <c r="AS31" s="26"/>
      <c r="AT31" s="26"/>
      <c r="AU31" s="26"/>
      <c r="AV31" s="26"/>
      <c r="AY31" s="21"/>
      <c r="BA31" s="25"/>
      <c r="BB31" s="25"/>
      <c r="BC31" s="25"/>
      <c r="BD31" s="25"/>
      <c r="BE31" s="25"/>
      <c r="BF31" s="25"/>
      <c r="BG31" s="25"/>
      <c r="BH31" s="25"/>
      <c r="BI31" s="25"/>
      <c r="BJ31" s="25"/>
      <c r="BK31" s="25"/>
      <c r="BL31" s="25"/>
      <c r="BM31" s="25"/>
      <c r="BN31" s="25"/>
      <c r="BO31" s="25"/>
      <c r="BP31" s="25"/>
      <c r="BQ31" s="25"/>
      <c r="BR31" s="25"/>
      <c r="BS31" s="25"/>
      <c r="BT31" s="25">
        <f t="shared" si="3"/>
        <v>300</v>
      </c>
      <c r="BU31" s="28">
        <f t="shared" si="0"/>
        <v>300</v>
      </c>
      <c r="BV31" s="25">
        <f t="shared" si="1"/>
        <v>166.66666666666669</v>
      </c>
      <c r="BW31" s="25">
        <f t="shared" si="4"/>
        <v>50000.000000000007</v>
      </c>
      <c r="BX31" s="25">
        <v>50000</v>
      </c>
      <c r="BY31" s="25">
        <v>200</v>
      </c>
      <c r="BZ31" s="22">
        <f t="shared" si="2"/>
        <v>60000</v>
      </c>
    </row>
    <row r="32" spans="1:79" ht="29.25" customHeight="1" x14ac:dyDescent="0.25">
      <c r="A32" s="23">
        <v>31</v>
      </c>
      <c r="B32" s="30" t="s">
        <v>140</v>
      </c>
      <c r="C32" s="25" t="s">
        <v>140</v>
      </c>
      <c r="D32" s="30" t="s">
        <v>141</v>
      </c>
      <c r="E32" s="29" t="s">
        <v>82</v>
      </c>
      <c r="F32" s="25"/>
      <c r="G32" s="25"/>
      <c r="H32" s="25"/>
      <c r="I32" s="25"/>
      <c r="J32" s="25"/>
      <c r="K32" s="25"/>
      <c r="L32" s="25"/>
      <c r="M32" s="25"/>
      <c r="N32" s="25"/>
      <c r="O32" s="25"/>
      <c r="P32" s="25"/>
      <c r="Q32" s="25"/>
      <c r="R32" s="25"/>
      <c r="S32" s="25"/>
      <c r="T32" s="25"/>
      <c r="U32" s="25"/>
      <c r="V32" s="25"/>
      <c r="W32" s="25"/>
      <c r="X32" s="25"/>
      <c r="Y32" s="25"/>
      <c r="Z32" s="25"/>
      <c r="AA32" s="25"/>
      <c r="AB32" s="25"/>
      <c r="AF32" s="25"/>
      <c r="AG32" s="25"/>
      <c r="AH32" s="40"/>
      <c r="AI32" s="40"/>
      <c r="AK32" s="25"/>
      <c r="AN32" s="25"/>
      <c r="AO32" s="25">
        <v>300</v>
      </c>
      <c r="AP32" s="40"/>
      <c r="AQ32" s="25"/>
      <c r="AR32" s="25"/>
      <c r="AS32" s="25"/>
      <c r="AT32" s="25"/>
      <c r="AV32" s="25"/>
      <c r="AW32" s="25"/>
      <c r="AX32" s="25"/>
      <c r="AY32" s="21"/>
      <c r="BA32" s="25"/>
      <c r="BB32" s="25"/>
      <c r="BC32" s="25"/>
      <c r="BD32" s="25"/>
      <c r="BE32" s="25"/>
      <c r="BF32" s="25"/>
      <c r="BG32" s="25"/>
      <c r="BH32" s="25"/>
      <c r="BI32" s="25"/>
      <c r="BJ32" s="25"/>
      <c r="BK32" s="25"/>
      <c r="BL32" s="25"/>
      <c r="BM32" s="25"/>
      <c r="BN32" s="25"/>
      <c r="BO32" s="25"/>
      <c r="BP32" s="25"/>
      <c r="BQ32" s="25"/>
      <c r="BR32" s="25"/>
      <c r="BS32" s="25"/>
      <c r="BT32" s="25">
        <f t="shared" si="3"/>
        <v>300</v>
      </c>
      <c r="BU32" s="28">
        <f t="shared" si="0"/>
        <v>300</v>
      </c>
      <c r="BV32" s="25">
        <f t="shared" si="1"/>
        <v>46.666666666666671</v>
      </c>
      <c r="BW32" s="25">
        <f t="shared" si="4"/>
        <v>14000.000000000002</v>
      </c>
      <c r="BX32" s="25">
        <v>14000</v>
      </c>
      <c r="BY32" s="54">
        <v>56</v>
      </c>
      <c r="BZ32" s="22">
        <f t="shared" si="2"/>
        <v>16800</v>
      </c>
      <c r="CA32" s="20" t="s">
        <v>142</v>
      </c>
    </row>
    <row r="33" spans="1:80" ht="29.25" customHeight="1" x14ac:dyDescent="0.25">
      <c r="A33" s="29">
        <v>32</v>
      </c>
      <c r="B33" s="30" t="s">
        <v>143</v>
      </c>
      <c r="C33" s="25" t="s">
        <v>143</v>
      </c>
      <c r="D33" s="30" t="s">
        <v>144</v>
      </c>
      <c r="E33" s="56" t="s">
        <v>82</v>
      </c>
      <c r="F33" s="55"/>
      <c r="G33" s="27"/>
      <c r="H33" s="27"/>
      <c r="I33" s="27"/>
      <c r="J33" s="27"/>
      <c r="K33" s="27"/>
      <c r="L33" s="27"/>
      <c r="M33" s="27"/>
      <c r="N33" s="27"/>
      <c r="O33" s="27"/>
      <c r="P33" s="27"/>
      <c r="Q33" s="27"/>
      <c r="R33" s="27"/>
      <c r="S33" s="27"/>
      <c r="T33" s="25"/>
      <c r="U33" s="25"/>
      <c r="V33" s="25"/>
      <c r="W33" s="27"/>
      <c r="X33" s="27"/>
      <c r="Y33" s="27"/>
      <c r="Z33" s="27"/>
      <c r="AA33" s="27"/>
      <c r="AB33" s="27"/>
      <c r="AC33" s="25">
        <v>3500</v>
      </c>
      <c r="AO33" s="25"/>
      <c r="AQ33" s="25"/>
      <c r="AR33" s="27"/>
      <c r="AS33" s="27"/>
      <c r="AT33" s="27"/>
      <c r="BA33" s="25"/>
      <c r="BB33" s="25"/>
      <c r="BC33" s="25"/>
      <c r="BD33" s="25"/>
      <c r="BE33" s="25"/>
      <c r="BF33" s="25"/>
      <c r="BG33" s="25"/>
      <c r="BH33" s="25"/>
      <c r="BI33" s="25"/>
      <c r="BJ33" s="25"/>
      <c r="BK33" s="25"/>
      <c r="BL33" s="25"/>
      <c r="BM33" s="25"/>
      <c r="BN33" s="25"/>
      <c r="BO33" s="25"/>
      <c r="BP33" s="25"/>
      <c r="BQ33" s="25"/>
      <c r="BR33" s="25"/>
      <c r="BS33" s="25"/>
      <c r="BT33" s="25">
        <f t="shared" si="3"/>
        <v>3500</v>
      </c>
      <c r="BU33" s="28">
        <f t="shared" si="0"/>
        <v>3500</v>
      </c>
      <c r="BV33" s="25">
        <f t="shared" si="1"/>
        <v>75</v>
      </c>
      <c r="BW33" s="25">
        <f t="shared" si="4"/>
        <v>262500</v>
      </c>
      <c r="BX33" s="25">
        <v>262500</v>
      </c>
      <c r="BY33" s="57">
        <v>90</v>
      </c>
      <c r="BZ33" s="22">
        <f t="shared" si="2"/>
        <v>315000</v>
      </c>
    </row>
    <row r="34" spans="1:80" ht="29.25" customHeight="1" x14ac:dyDescent="0.25">
      <c r="A34" s="23">
        <v>33</v>
      </c>
      <c r="B34" s="58" t="s">
        <v>145</v>
      </c>
      <c r="C34" s="59" t="s">
        <v>145</v>
      </c>
      <c r="D34" s="58" t="s">
        <v>146</v>
      </c>
      <c r="E34" s="29" t="s">
        <v>82</v>
      </c>
      <c r="F34" s="25"/>
      <c r="G34" s="25"/>
      <c r="H34" s="25"/>
      <c r="I34" s="25"/>
      <c r="J34" s="25"/>
      <c r="K34" s="25"/>
      <c r="L34" s="25"/>
      <c r="M34" s="25"/>
      <c r="N34" s="25"/>
      <c r="O34" s="25"/>
      <c r="P34" s="25"/>
      <c r="Q34" s="25"/>
      <c r="R34" s="25"/>
      <c r="S34" s="25"/>
      <c r="T34" s="25">
        <v>200</v>
      </c>
      <c r="U34" s="25"/>
      <c r="V34" s="25">
        <v>100</v>
      </c>
      <c r="W34" s="25"/>
      <c r="X34" s="25"/>
      <c r="Y34" s="25"/>
      <c r="Z34" s="25">
        <v>600</v>
      </c>
      <c r="AA34" s="25"/>
      <c r="AB34" s="25">
        <v>10</v>
      </c>
      <c r="AD34" s="25">
        <v>3000</v>
      </c>
      <c r="AF34" s="25"/>
      <c r="AG34" s="25"/>
      <c r="AK34" s="25">
        <v>600</v>
      </c>
      <c r="AM34" s="25">
        <v>150</v>
      </c>
      <c r="AN34" s="25"/>
      <c r="AO34" s="25"/>
      <c r="AQ34" s="25"/>
      <c r="AR34" s="25">
        <v>50</v>
      </c>
      <c r="AS34" s="25"/>
      <c r="AT34" s="25"/>
      <c r="AU34" s="25">
        <v>10</v>
      </c>
      <c r="AV34" s="25"/>
      <c r="AW34" s="25"/>
      <c r="AX34" s="25"/>
      <c r="AY34" s="25">
        <v>50</v>
      </c>
      <c r="AZ34" s="25">
        <v>50</v>
      </c>
      <c r="BA34" s="25"/>
      <c r="BB34" s="25"/>
      <c r="BC34" s="25"/>
      <c r="BD34" s="25"/>
      <c r="BE34" s="25">
        <v>100</v>
      </c>
      <c r="BF34" s="25">
        <v>10</v>
      </c>
      <c r="BG34" s="25">
        <v>50</v>
      </c>
      <c r="BH34" s="25">
        <v>100</v>
      </c>
      <c r="BI34" s="25">
        <v>200</v>
      </c>
      <c r="BJ34" s="25">
        <v>50</v>
      </c>
      <c r="BK34" s="25"/>
      <c r="BL34" s="25"/>
      <c r="BM34" s="25"/>
      <c r="BN34" s="25"/>
      <c r="BO34" s="25"/>
      <c r="BP34" s="25"/>
      <c r="BQ34" s="25"/>
      <c r="BR34" s="25"/>
      <c r="BS34" s="25"/>
      <c r="BT34" s="25">
        <f t="shared" si="3"/>
        <v>5330</v>
      </c>
      <c r="BU34" s="28">
        <f t="shared" si="0"/>
        <v>5330</v>
      </c>
      <c r="BV34" s="25">
        <f t="shared" si="1"/>
        <v>16.7</v>
      </c>
      <c r="BW34" s="25">
        <f t="shared" si="4"/>
        <v>89011</v>
      </c>
      <c r="BX34" s="25">
        <v>89011</v>
      </c>
      <c r="BY34" s="55">
        <v>20.04</v>
      </c>
      <c r="BZ34" s="22">
        <f t="shared" si="2"/>
        <v>106813.2</v>
      </c>
      <c r="CA34" s="20">
        <f>20.04*5330</f>
        <v>106813.2</v>
      </c>
    </row>
    <row r="35" spans="1:80" ht="29.25" customHeight="1" x14ac:dyDescent="0.25">
      <c r="A35" s="29">
        <v>34</v>
      </c>
      <c r="B35" s="30" t="s">
        <v>147</v>
      </c>
      <c r="C35" s="25" t="s">
        <v>147</v>
      </c>
      <c r="D35" s="30" t="s">
        <v>148</v>
      </c>
      <c r="E35" s="29" t="s">
        <v>82</v>
      </c>
      <c r="F35" s="25"/>
      <c r="G35" s="25"/>
      <c r="H35" s="25"/>
      <c r="I35" s="25"/>
      <c r="J35" s="25"/>
      <c r="K35" s="25"/>
      <c r="L35" s="25"/>
      <c r="M35" s="25"/>
      <c r="N35" s="25"/>
      <c r="O35" s="25"/>
      <c r="P35" s="25"/>
      <c r="Q35" s="25"/>
      <c r="R35" s="25"/>
      <c r="S35" s="25"/>
      <c r="T35" s="25"/>
      <c r="U35" s="25"/>
      <c r="V35" s="25"/>
      <c r="W35" s="25"/>
      <c r="X35" s="25"/>
      <c r="Y35" s="25"/>
      <c r="Z35" s="25"/>
      <c r="AA35" s="25"/>
      <c r="AB35" s="25"/>
      <c r="AF35" s="25"/>
      <c r="AG35" s="25"/>
      <c r="AJ35" s="25">
        <v>4000</v>
      </c>
      <c r="AO35" s="25"/>
      <c r="AQ35" s="25"/>
      <c r="AR35" s="27"/>
      <c r="AS35" s="27"/>
      <c r="AT35" s="27"/>
      <c r="BA35" s="25"/>
      <c r="BB35" s="25"/>
      <c r="BC35" s="25"/>
      <c r="BD35" s="25"/>
      <c r="BE35" s="25"/>
      <c r="BF35" s="25"/>
      <c r="BG35" s="25"/>
      <c r="BH35" s="25"/>
      <c r="BI35" s="25"/>
      <c r="BJ35" s="25"/>
      <c r="BK35" s="25"/>
      <c r="BL35" s="25"/>
      <c r="BM35" s="25"/>
      <c r="BN35" s="25"/>
      <c r="BO35" s="25"/>
      <c r="BP35" s="25"/>
      <c r="BQ35" s="25"/>
      <c r="BR35" s="25"/>
      <c r="BS35" s="25"/>
      <c r="BT35" s="25">
        <f t="shared" si="3"/>
        <v>4000</v>
      </c>
      <c r="BU35" s="28">
        <f t="shared" si="0"/>
        <v>4000</v>
      </c>
      <c r="BV35" s="25">
        <f t="shared" si="1"/>
        <v>1</v>
      </c>
      <c r="BW35" s="25">
        <f t="shared" si="4"/>
        <v>4000</v>
      </c>
      <c r="BX35" s="25">
        <v>4000</v>
      </c>
      <c r="BY35" s="60">
        <v>1.2</v>
      </c>
      <c r="BZ35" s="22">
        <f t="shared" si="2"/>
        <v>4800</v>
      </c>
    </row>
    <row r="36" spans="1:80" ht="29.25" customHeight="1" x14ac:dyDescent="0.25">
      <c r="A36" s="23">
        <v>35</v>
      </c>
      <c r="B36" s="30" t="s">
        <v>149</v>
      </c>
      <c r="C36" s="25" t="s">
        <v>149</v>
      </c>
      <c r="D36" s="30" t="s">
        <v>150</v>
      </c>
      <c r="E36" s="29" t="s">
        <v>82</v>
      </c>
      <c r="F36" s="25"/>
      <c r="G36" s="25"/>
      <c r="H36" s="25"/>
      <c r="I36" s="25"/>
      <c r="J36" s="25"/>
      <c r="K36" s="25"/>
      <c r="L36" s="25"/>
      <c r="M36" s="25"/>
      <c r="N36" s="25"/>
      <c r="O36" s="25"/>
      <c r="P36" s="25"/>
      <c r="Q36" s="25"/>
      <c r="R36" s="25"/>
      <c r="S36" s="25"/>
      <c r="T36" s="25"/>
      <c r="U36" s="25"/>
      <c r="V36" s="25"/>
      <c r="W36" s="25"/>
      <c r="X36" s="25"/>
      <c r="Y36" s="25"/>
      <c r="Z36" s="25"/>
      <c r="AA36" s="25"/>
      <c r="AB36" s="25"/>
      <c r="AF36" s="25"/>
      <c r="AG36" s="25"/>
      <c r="AH36" s="40"/>
      <c r="AI36" s="40"/>
      <c r="AK36" s="25"/>
      <c r="AN36" s="25"/>
      <c r="AO36" s="25">
        <v>18</v>
      </c>
      <c r="AP36" s="40"/>
      <c r="AQ36" s="25"/>
      <c r="AR36" s="25"/>
      <c r="AS36" s="25"/>
      <c r="AT36" s="25"/>
      <c r="AV36" s="25"/>
      <c r="AW36" s="25"/>
      <c r="AX36" s="25"/>
      <c r="AY36" s="21"/>
      <c r="BA36" s="25"/>
      <c r="BB36" s="25"/>
      <c r="BC36" s="25"/>
      <c r="BD36" s="25"/>
      <c r="BE36" s="25"/>
      <c r="BF36" s="25"/>
      <c r="BG36" s="25"/>
      <c r="BH36" s="25"/>
      <c r="BI36" s="25"/>
      <c r="BJ36" s="25"/>
      <c r="BK36" s="25"/>
      <c r="BL36" s="25"/>
      <c r="BM36" s="25"/>
      <c r="BN36" s="25"/>
      <c r="BO36" s="25"/>
      <c r="BP36" s="25"/>
      <c r="BQ36" s="25"/>
      <c r="BR36" s="25"/>
      <c r="BS36" s="25"/>
      <c r="BT36" s="25">
        <f t="shared" si="3"/>
        <v>18</v>
      </c>
      <c r="BU36" s="28">
        <f t="shared" si="0"/>
        <v>18</v>
      </c>
      <c r="BV36" s="25">
        <f t="shared" si="1"/>
        <v>16.008333333333336</v>
      </c>
      <c r="BW36" s="25">
        <f t="shared" si="4"/>
        <v>288.15000000000003</v>
      </c>
      <c r="BX36" s="25">
        <v>288.14999999999998</v>
      </c>
      <c r="BY36" s="54">
        <v>19.21</v>
      </c>
      <c r="BZ36" s="22">
        <f t="shared" si="2"/>
        <v>345.78000000000003</v>
      </c>
      <c r="CA36" s="20" t="s">
        <v>151</v>
      </c>
    </row>
    <row r="37" spans="1:80" ht="29.25" customHeight="1" x14ac:dyDescent="0.25">
      <c r="A37" s="29">
        <v>36</v>
      </c>
      <c r="B37" s="30" t="s">
        <v>152</v>
      </c>
      <c r="C37" s="25" t="s">
        <v>152</v>
      </c>
      <c r="D37" s="30" t="s">
        <v>153</v>
      </c>
      <c r="E37" s="51" t="s">
        <v>82</v>
      </c>
      <c r="F37" s="26"/>
      <c r="G37" s="26"/>
      <c r="H37" s="26"/>
      <c r="I37" s="26"/>
      <c r="J37" s="26"/>
      <c r="K37" s="26"/>
      <c r="L37" s="26"/>
      <c r="M37" s="26"/>
      <c r="N37" s="26"/>
      <c r="O37" s="26"/>
      <c r="P37" s="26"/>
      <c r="Q37" s="26"/>
      <c r="R37" s="26"/>
      <c r="S37" s="26"/>
      <c r="T37" s="25"/>
      <c r="U37" s="25"/>
      <c r="V37" s="25"/>
      <c r="W37" s="26"/>
      <c r="X37" s="26"/>
      <c r="Y37" s="26"/>
      <c r="Z37" s="26"/>
      <c r="AA37" s="26"/>
      <c r="AB37" s="26"/>
      <c r="AC37" s="26"/>
      <c r="AD37" s="26"/>
      <c r="AE37" s="26"/>
      <c r="AF37" s="26"/>
      <c r="AJ37" s="26"/>
      <c r="AK37" s="26"/>
      <c r="AL37" s="26"/>
      <c r="AM37" s="25">
        <v>60</v>
      </c>
      <c r="AO37" s="25">
        <v>25</v>
      </c>
      <c r="AQ37" s="25"/>
      <c r="AR37" s="26"/>
      <c r="AS37" s="26"/>
      <c r="AT37" s="26"/>
      <c r="AU37" s="26"/>
      <c r="AV37" s="26"/>
      <c r="AY37" s="21"/>
      <c r="BA37" s="25"/>
      <c r="BB37" s="25"/>
      <c r="BC37" s="25"/>
      <c r="BD37" s="25"/>
      <c r="BE37" s="25"/>
      <c r="BF37" s="25"/>
      <c r="BG37" s="25"/>
      <c r="BH37" s="25"/>
      <c r="BI37" s="25"/>
      <c r="BJ37" s="25"/>
      <c r="BK37" s="25"/>
      <c r="BL37" s="25"/>
      <c r="BM37" s="25"/>
      <c r="BN37" s="25"/>
      <c r="BO37" s="25"/>
      <c r="BP37" s="25"/>
      <c r="BQ37" s="25"/>
      <c r="BR37" s="25"/>
      <c r="BS37" s="25"/>
      <c r="BT37" s="25">
        <f t="shared" si="3"/>
        <v>85</v>
      </c>
      <c r="BU37" s="28">
        <f t="shared" si="0"/>
        <v>85</v>
      </c>
      <c r="BV37" s="25">
        <f t="shared" si="1"/>
        <v>53.900000000000006</v>
      </c>
      <c r="BW37" s="25">
        <f t="shared" si="4"/>
        <v>4581.5000000000009</v>
      </c>
      <c r="BX37" s="25">
        <v>4581.5</v>
      </c>
      <c r="BY37" s="54">
        <v>64.680000000000007</v>
      </c>
      <c r="BZ37" s="22">
        <f t="shared" si="2"/>
        <v>5497.8</v>
      </c>
      <c r="CA37" s="20" t="s">
        <v>154</v>
      </c>
    </row>
    <row r="38" spans="1:80" ht="29.25" customHeight="1" x14ac:dyDescent="0.25">
      <c r="A38" s="23">
        <v>37</v>
      </c>
      <c r="B38" s="30" t="s">
        <v>155</v>
      </c>
      <c r="C38" s="25" t="s">
        <v>155</v>
      </c>
      <c r="D38" s="30" t="s">
        <v>155</v>
      </c>
      <c r="E38" s="29" t="s">
        <v>82</v>
      </c>
      <c r="F38" s="25"/>
      <c r="G38" s="25"/>
      <c r="H38" s="25"/>
      <c r="I38" s="25"/>
      <c r="J38" s="25"/>
      <c r="K38" s="25"/>
      <c r="L38" s="25"/>
      <c r="M38" s="25"/>
      <c r="N38" s="25"/>
      <c r="O38" s="25"/>
      <c r="P38" s="25"/>
      <c r="Q38" s="25"/>
      <c r="R38" s="25"/>
      <c r="S38" s="25"/>
      <c r="T38" s="25"/>
      <c r="U38" s="25"/>
      <c r="V38" s="25"/>
      <c r="W38" s="25"/>
      <c r="X38" s="25"/>
      <c r="Y38" s="25"/>
      <c r="Z38" s="25"/>
      <c r="AA38" s="25"/>
      <c r="AB38" s="25">
        <v>50</v>
      </c>
      <c r="AO38" s="25"/>
      <c r="AQ38" s="25"/>
      <c r="AR38" s="27"/>
      <c r="AS38" s="27"/>
      <c r="AT38" s="27"/>
      <c r="BA38" s="25"/>
      <c r="BB38" s="25"/>
      <c r="BC38" s="25"/>
      <c r="BD38" s="25"/>
      <c r="BE38" s="25"/>
      <c r="BF38" s="25"/>
      <c r="BG38" s="25"/>
      <c r="BH38" s="25"/>
      <c r="BI38" s="25"/>
      <c r="BJ38" s="25"/>
      <c r="BK38" s="25"/>
      <c r="BL38" s="25"/>
      <c r="BM38" s="25"/>
      <c r="BN38" s="25"/>
      <c r="BO38" s="25"/>
      <c r="BP38" s="25"/>
      <c r="BQ38" s="25"/>
      <c r="BR38" s="25"/>
      <c r="BS38" s="25"/>
      <c r="BT38" s="25">
        <f t="shared" si="3"/>
        <v>50</v>
      </c>
      <c r="BU38" s="28">
        <f t="shared" si="0"/>
        <v>50</v>
      </c>
      <c r="BV38" s="25">
        <f t="shared" si="1"/>
        <v>1.25</v>
      </c>
      <c r="BW38" s="25">
        <f t="shared" si="4"/>
        <v>62.5</v>
      </c>
      <c r="BX38" s="25">
        <v>62.5</v>
      </c>
      <c r="BY38" s="44">
        <v>1.5</v>
      </c>
      <c r="BZ38" s="22">
        <f t="shared" si="2"/>
        <v>75</v>
      </c>
    </row>
    <row r="39" spans="1:80" ht="29.25" customHeight="1" x14ac:dyDescent="0.25">
      <c r="A39" s="29">
        <v>38</v>
      </c>
      <c r="B39" s="30" t="s">
        <v>156</v>
      </c>
      <c r="C39" s="25" t="s">
        <v>156</v>
      </c>
      <c r="D39" s="30" t="s">
        <v>156</v>
      </c>
      <c r="E39" s="29" t="s">
        <v>82</v>
      </c>
      <c r="F39" s="25"/>
      <c r="G39" s="25"/>
      <c r="H39" s="25"/>
      <c r="I39" s="25"/>
      <c r="J39" s="25"/>
      <c r="K39" s="25"/>
      <c r="L39" s="25"/>
      <c r="M39" s="25"/>
      <c r="N39" s="25"/>
      <c r="O39" s="25"/>
      <c r="P39" s="25"/>
      <c r="Q39" s="25"/>
      <c r="R39" s="25"/>
      <c r="S39" s="25"/>
      <c r="T39" s="25"/>
      <c r="U39" s="25"/>
      <c r="V39" s="25"/>
      <c r="W39" s="25"/>
      <c r="X39" s="25"/>
      <c r="Y39" s="25"/>
      <c r="Z39" s="25"/>
      <c r="AA39" s="25"/>
      <c r="AB39" s="25">
        <v>40</v>
      </c>
      <c r="AO39" s="25"/>
      <c r="AQ39" s="25"/>
      <c r="AR39" s="27"/>
      <c r="AS39" s="27"/>
      <c r="AT39" s="27"/>
      <c r="BA39" s="25"/>
      <c r="BB39" s="25"/>
      <c r="BC39" s="25"/>
      <c r="BD39" s="25"/>
      <c r="BE39" s="25"/>
      <c r="BF39" s="25"/>
      <c r="BG39" s="25"/>
      <c r="BH39" s="25"/>
      <c r="BI39" s="25"/>
      <c r="BJ39" s="25"/>
      <c r="BK39" s="25"/>
      <c r="BL39" s="25"/>
      <c r="BM39" s="25"/>
      <c r="BN39" s="25"/>
      <c r="BO39" s="25"/>
      <c r="BP39" s="25"/>
      <c r="BQ39" s="25"/>
      <c r="BR39" s="25"/>
      <c r="BS39" s="25"/>
      <c r="BT39" s="25">
        <f t="shared" si="3"/>
        <v>40</v>
      </c>
      <c r="BU39" s="28">
        <f t="shared" si="0"/>
        <v>40</v>
      </c>
      <c r="BV39" s="25">
        <f t="shared" si="1"/>
        <v>12.5</v>
      </c>
      <c r="BW39" s="25">
        <f t="shared" si="4"/>
        <v>500</v>
      </c>
      <c r="BX39" s="25">
        <v>500</v>
      </c>
      <c r="BY39" s="44">
        <v>15</v>
      </c>
      <c r="BZ39" s="22">
        <f t="shared" si="2"/>
        <v>600</v>
      </c>
    </row>
    <row r="40" spans="1:80" ht="29.25" customHeight="1" x14ac:dyDescent="0.25">
      <c r="A40" s="23">
        <v>39</v>
      </c>
      <c r="B40" s="30" t="s">
        <v>157</v>
      </c>
      <c r="C40" s="25" t="s">
        <v>157</v>
      </c>
      <c r="D40" s="30" t="s">
        <v>158</v>
      </c>
      <c r="E40" s="61" t="s">
        <v>82</v>
      </c>
      <c r="F40" s="27"/>
      <c r="G40" s="27"/>
      <c r="H40" s="27"/>
      <c r="I40" s="27"/>
      <c r="J40" s="27"/>
      <c r="K40" s="27"/>
      <c r="L40" s="27"/>
      <c r="M40" s="27"/>
      <c r="N40" s="55">
        <v>100</v>
      </c>
      <c r="O40" s="55"/>
      <c r="P40" s="22"/>
      <c r="Q40" s="25"/>
      <c r="R40" s="25"/>
      <c r="S40" s="27"/>
      <c r="T40" s="25"/>
      <c r="U40" s="25"/>
      <c r="V40" s="25"/>
      <c r="W40" s="25"/>
      <c r="X40" s="25"/>
      <c r="Y40" s="25"/>
      <c r="Z40" s="25"/>
      <c r="AA40" s="27"/>
      <c r="AB40" s="25"/>
      <c r="AO40" s="25"/>
      <c r="AQ40" s="25"/>
      <c r="AR40" s="27"/>
      <c r="AS40" s="27"/>
      <c r="AT40" s="27"/>
      <c r="BA40" s="25"/>
      <c r="BB40" s="25"/>
      <c r="BC40" s="25"/>
      <c r="BD40" s="25"/>
      <c r="BE40" s="25"/>
      <c r="BF40" s="25"/>
      <c r="BG40" s="25"/>
      <c r="BH40" s="25"/>
      <c r="BI40" s="25"/>
      <c r="BJ40" s="25"/>
      <c r="BK40" s="25"/>
      <c r="BL40" s="25"/>
      <c r="BM40" s="25"/>
      <c r="BN40" s="25"/>
      <c r="BO40" s="25"/>
      <c r="BP40" s="25"/>
      <c r="BQ40" s="25"/>
      <c r="BR40" s="25"/>
      <c r="BS40" s="25"/>
      <c r="BT40" s="25">
        <f t="shared" si="3"/>
        <v>100</v>
      </c>
      <c r="BU40" s="28">
        <f t="shared" si="0"/>
        <v>100</v>
      </c>
      <c r="BV40" s="25">
        <f t="shared" si="1"/>
        <v>43.416666666666671</v>
      </c>
      <c r="BW40" s="25">
        <f t="shared" si="4"/>
        <v>4341.666666666667</v>
      </c>
      <c r="BX40" s="25">
        <v>4341.67</v>
      </c>
      <c r="BY40" s="62">
        <v>52.1</v>
      </c>
      <c r="BZ40" s="22">
        <f t="shared" si="2"/>
        <v>5210</v>
      </c>
      <c r="CA40" s="20" t="s">
        <v>159</v>
      </c>
    </row>
    <row r="41" spans="1:80" ht="29.25" customHeight="1" x14ac:dyDescent="0.25">
      <c r="A41" s="29">
        <v>40</v>
      </c>
      <c r="B41" s="63" t="s">
        <v>160</v>
      </c>
      <c r="C41" s="63" t="s">
        <v>160</v>
      </c>
      <c r="D41" s="30" t="s">
        <v>161</v>
      </c>
      <c r="E41" s="29" t="s">
        <v>82</v>
      </c>
      <c r="F41" s="25"/>
      <c r="G41" s="25"/>
      <c r="H41" s="25"/>
      <c r="I41" s="25"/>
      <c r="J41" s="25"/>
      <c r="K41" s="25"/>
      <c r="L41" s="25"/>
      <c r="M41" s="25"/>
      <c r="N41" s="25"/>
      <c r="O41" s="25"/>
      <c r="P41" s="25"/>
      <c r="Q41" s="25"/>
      <c r="R41" s="25"/>
      <c r="S41" s="25"/>
      <c r="T41" s="25"/>
      <c r="U41" s="25"/>
      <c r="V41" s="25"/>
      <c r="W41" s="25"/>
      <c r="X41" s="25"/>
      <c r="Y41" s="25"/>
      <c r="Z41" s="25"/>
      <c r="AA41" s="25"/>
      <c r="AB41" s="25">
        <v>4</v>
      </c>
      <c r="AO41" s="25"/>
      <c r="AQ41" s="25"/>
      <c r="AR41" s="27"/>
      <c r="AS41" s="27"/>
      <c r="AT41" s="27"/>
      <c r="BA41" s="25"/>
      <c r="BB41" s="25"/>
      <c r="BC41" s="25"/>
      <c r="BD41" s="25"/>
      <c r="BE41" s="25"/>
      <c r="BF41" s="25"/>
      <c r="BG41" s="25"/>
      <c r="BH41" s="25"/>
      <c r="BI41" s="25"/>
      <c r="BJ41" s="25"/>
      <c r="BK41" s="25"/>
      <c r="BL41" s="25"/>
      <c r="BM41" s="25"/>
      <c r="BN41" s="25"/>
      <c r="BO41" s="25"/>
      <c r="BP41" s="25"/>
      <c r="BQ41" s="25"/>
      <c r="BR41" s="25"/>
      <c r="BS41" s="25"/>
      <c r="BT41" s="25">
        <f t="shared" si="3"/>
        <v>4</v>
      </c>
      <c r="BU41" s="28">
        <f t="shared" si="0"/>
        <v>4</v>
      </c>
      <c r="BV41" s="25">
        <f t="shared" si="1"/>
        <v>83.333333333333343</v>
      </c>
      <c r="BW41" s="25">
        <f t="shared" si="4"/>
        <v>333.33333333333337</v>
      </c>
      <c r="BX41" s="25">
        <v>333.34</v>
      </c>
      <c r="BY41" s="44">
        <v>100</v>
      </c>
      <c r="BZ41" s="22">
        <f t="shared" si="2"/>
        <v>400</v>
      </c>
    </row>
    <row r="42" spans="1:80" ht="29.25" customHeight="1" x14ac:dyDescent="0.25">
      <c r="A42" s="23">
        <v>41</v>
      </c>
      <c r="B42" s="24" t="s">
        <v>162</v>
      </c>
      <c r="C42" s="21" t="s">
        <v>162</v>
      </c>
      <c r="D42" s="24" t="s">
        <v>163</v>
      </c>
      <c r="E42" s="23" t="s">
        <v>82</v>
      </c>
      <c r="F42" s="22"/>
      <c r="G42" s="22"/>
      <c r="H42" s="22"/>
      <c r="I42" s="22"/>
      <c r="J42" s="22"/>
      <c r="K42" s="22"/>
      <c r="L42" s="22"/>
      <c r="M42" s="22"/>
      <c r="N42" s="22"/>
      <c r="O42" s="22"/>
      <c r="P42" s="22"/>
      <c r="Q42" s="22"/>
      <c r="R42" s="22"/>
      <c r="S42" s="22"/>
      <c r="T42" s="25"/>
      <c r="U42" s="25"/>
      <c r="V42" s="25"/>
      <c r="W42" s="22"/>
      <c r="X42" s="22"/>
      <c r="Y42" s="22"/>
      <c r="Z42" s="22"/>
      <c r="AA42" s="22"/>
      <c r="AB42" s="22"/>
      <c r="AC42" s="22"/>
      <c r="AD42" s="22"/>
      <c r="AG42" s="22"/>
      <c r="AJ42" s="22"/>
      <c r="AK42" s="22">
        <v>20</v>
      </c>
      <c r="AO42" s="25"/>
      <c r="AQ42" s="25"/>
      <c r="AR42" s="27"/>
      <c r="AS42" s="27"/>
      <c r="AT42" s="27"/>
      <c r="BA42" s="25"/>
      <c r="BB42" s="25"/>
      <c r="BC42" s="25"/>
      <c r="BD42" s="25"/>
      <c r="BE42" s="25"/>
      <c r="BF42" s="25"/>
      <c r="BG42" s="25"/>
      <c r="BH42" s="25"/>
      <c r="BI42" s="25"/>
      <c r="BJ42" s="25"/>
      <c r="BK42" s="25"/>
      <c r="BL42" s="25"/>
      <c r="BM42" s="25"/>
      <c r="BN42" s="25"/>
      <c r="BO42" s="25"/>
      <c r="BP42" s="25"/>
      <c r="BQ42" s="25"/>
      <c r="BR42" s="25"/>
      <c r="BS42" s="25"/>
      <c r="BT42" s="25">
        <f t="shared" si="3"/>
        <v>20</v>
      </c>
      <c r="BU42" s="28">
        <f t="shared" si="0"/>
        <v>20</v>
      </c>
      <c r="BV42" s="25">
        <f t="shared" si="1"/>
        <v>81</v>
      </c>
      <c r="BW42" s="25">
        <f t="shared" si="4"/>
        <v>1620</v>
      </c>
      <c r="BX42" s="25">
        <v>1620</v>
      </c>
      <c r="BY42" s="22">
        <v>97.2</v>
      </c>
      <c r="BZ42" s="22">
        <f t="shared" si="2"/>
        <v>1944</v>
      </c>
    </row>
    <row r="43" spans="1:80" ht="29.25" customHeight="1" x14ac:dyDescent="0.25">
      <c r="A43" s="29">
        <v>42</v>
      </c>
      <c r="B43" s="30" t="s">
        <v>164</v>
      </c>
      <c r="C43" s="25" t="s">
        <v>164</v>
      </c>
      <c r="D43" s="30" t="s">
        <v>165</v>
      </c>
      <c r="E43" s="51" t="s">
        <v>82</v>
      </c>
      <c r="F43" s="26"/>
      <c r="G43" s="26"/>
      <c r="H43" s="26"/>
      <c r="I43" s="26"/>
      <c r="J43" s="26"/>
      <c r="K43" s="26"/>
      <c r="L43" s="26"/>
      <c r="M43" s="26"/>
      <c r="N43" s="26"/>
      <c r="O43" s="26"/>
      <c r="P43" s="26"/>
      <c r="Q43" s="26"/>
      <c r="R43" s="26"/>
      <c r="S43" s="26"/>
      <c r="T43" s="25"/>
      <c r="U43" s="25"/>
      <c r="V43" s="25"/>
      <c r="W43" s="26"/>
      <c r="X43" s="26"/>
      <c r="Y43" s="26"/>
      <c r="Z43" s="26"/>
      <c r="AA43" s="26"/>
      <c r="AB43" s="26"/>
      <c r="AC43" s="26"/>
      <c r="AD43" s="26"/>
      <c r="AE43" s="26"/>
      <c r="AF43" s="26"/>
      <c r="AJ43" s="26"/>
      <c r="AK43" s="26"/>
      <c r="AL43" s="26"/>
      <c r="AM43" s="25">
        <v>60</v>
      </c>
      <c r="AO43" s="25"/>
      <c r="AQ43" s="25"/>
      <c r="AR43" s="26"/>
      <c r="AS43" s="26"/>
      <c r="AT43" s="26"/>
      <c r="AU43" s="26"/>
      <c r="AV43" s="26"/>
      <c r="AY43" s="21"/>
      <c r="BA43" s="25"/>
      <c r="BB43" s="25"/>
      <c r="BC43" s="25"/>
      <c r="BD43" s="25"/>
      <c r="BE43" s="25"/>
      <c r="BF43" s="25"/>
      <c r="BG43" s="25"/>
      <c r="BH43" s="25"/>
      <c r="BI43" s="25"/>
      <c r="BJ43" s="25"/>
      <c r="BK43" s="25"/>
      <c r="BL43" s="25"/>
      <c r="BM43" s="25"/>
      <c r="BN43" s="25"/>
      <c r="BO43" s="25"/>
      <c r="BP43" s="25"/>
      <c r="BQ43" s="25"/>
      <c r="BR43" s="25"/>
      <c r="BS43" s="25"/>
      <c r="BT43" s="25">
        <f t="shared" si="3"/>
        <v>60</v>
      </c>
      <c r="BU43" s="28">
        <f t="shared" si="0"/>
        <v>60</v>
      </c>
      <c r="BV43" s="25">
        <f t="shared" si="1"/>
        <v>183.33333333333334</v>
      </c>
      <c r="BW43" s="25">
        <f t="shared" si="4"/>
        <v>11000</v>
      </c>
      <c r="BX43" s="25">
        <v>11000</v>
      </c>
      <c r="BY43" s="25">
        <v>220</v>
      </c>
      <c r="BZ43" s="22">
        <f t="shared" si="2"/>
        <v>13200</v>
      </c>
    </row>
    <row r="44" spans="1:80" ht="29.25" customHeight="1" x14ac:dyDescent="0.25">
      <c r="A44" s="23">
        <v>43</v>
      </c>
      <c r="B44" s="64" t="s">
        <v>166</v>
      </c>
      <c r="C44" s="40" t="s">
        <v>166</v>
      </c>
      <c r="D44" s="64" t="s">
        <v>167</v>
      </c>
      <c r="E44" s="65" t="s">
        <v>82</v>
      </c>
      <c r="F44" s="40"/>
      <c r="G44" s="40"/>
      <c r="H44" s="40"/>
      <c r="I44" s="40"/>
      <c r="J44" s="40"/>
      <c r="K44" s="40"/>
      <c r="L44" s="40"/>
      <c r="M44" s="40"/>
      <c r="N44" s="40"/>
      <c r="O44" s="40"/>
      <c r="P44" s="40"/>
      <c r="Q44" s="40"/>
      <c r="R44" s="40"/>
      <c r="S44" s="40"/>
      <c r="T44" s="25"/>
      <c r="U44" s="25"/>
      <c r="V44" s="25"/>
      <c r="W44" s="40"/>
      <c r="X44" s="40"/>
      <c r="Y44" s="40"/>
      <c r="Z44" s="40"/>
      <c r="AA44" s="40"/>
      <c r="AB44" s="40"/>
      <c r="AC44" s="40"/>
      <c r="AD44" s="40"/>
      <c r="AE44" s="40"/>
      <c r="AF44" s="40"/>
      <c r="AG44" s="40"/>
      <c r="AH44" s="40">
        <v>30</v>
      </c>
      <c r="AI44" s="40"/>
      <c r="AJ44" s="40"/>
      <c r="AK44" s="40"/>
      <c r="AL44" s="40"/>
      <c r="AM44" s="40"/>
      <c r="AN44" s="40"/>
      <c r="AO44" s="40"/>
      <c r="AP44" s="40"/>
      <c r="AQ44" s="25"/>
      <c r="AR44" s="40"/>
      <c r="AS44" s="40"/>
      <c r="AT44" s="40"/>
      <c r="AU44" s="40"/>
      <c r="AV44" s="40"/>
      <c r="AW44" s="40"/>
      <c r="AX44" s="40"/>
      <c r="AY44" s="21"/>
      <c r="BA44" s="25"/>
      <c r="BB44" s="25"/>
      <c r="BC44" s="25"/>
      <c r="BD44" s="25"/>
      <c r="BE44" s="25"/>
      <c r="BF44" s="25"/>
      <c r="BG44" s="25"/>
      <c r="BH44" s="25"/>
      <c r="BI44" s="25"/>
      <c r="BJ44" s="25"/>
      <c r="BK44" s="25"/>
      <c r="BL44" s="25"/>
      <c r="BM44" s="25"/>
      <c r="BN44" s="25"/>
      <c r="BO44" s="25"/>
      <c r="BP44" s="25"/>
      <c r="BQ44" s="25"/>
      <c r="BR44" s="25"/>
      <c r="BS44" s="25"/>
      <c r="BT44" s="25">
        <f t="shared" si="3"/>
        <v>30</v>
      </c>
      <c r="BU44" s="28">
        <f t="shared" si="0"/>
        <v>30</v>
      </c>
      <c r="BV44" s="25">
        <f t="shared" si="1"/>
        <v>11.666666666666668</v>
      </c>
      <c r="BW44" s="25">
        <f t="shared" si="4"/>
        <v>350.00000000000006</v>
      </c>
      <c r="BX44" s="25">
        <v>350</v>
      </c>
      <c r="BY44" s="22">
        <v>14</v>
      </c>
      <c r="BZ44" s="22">
        <f t="shared" si="2"/>
        <v>420</v>
      </c>
    </row>
    <row r="45" spans="1:80" ht="29.25" customHeight="1" x14ac:dyDescent="0.25">
      <c r="A45" s="29">
        <v>44</v>
      </c>
      <c r="B45" s="64" t="s">
        <v>168</v>
      </c>
      <c r="C45" s="40" t="s">
        <v>168</v>
      </c>
      <c r="D45" s="64" t="s">
        <v>169</v>
      </c>
      <c r="E45" s="65" t="s">
        <v>82</v>
      </c>
      <c r="F45" s="40"/>
      <c r="G45" s="40"/>
      <c r="H45" s="40"/>
      <c r="I45" s="40"/>
      <c r="J45" s="40"/>
      <c r="K45" s="40"/>
      <c r="L45" s="40"/>
      <c r="M45" s="40"/>
      <c r="N45" s="40"/>
      <c r="O45" s="40"/>
      <c r="P45" s="40"/>
      <c r="Q45" s="40"/>
      <c r="R45" s="40"/>
      <c r="S45" s="40"/>
      <c r="T45" s="25"/>
      <c r="U45" s="25"/>
      <c r="V45" s="25"/>
      <c r="W45" s="40"/>
      <c r="X45" s="40"/>
      <c r="Y45" s="40"/>
      <c r="Z45" s="40"/>
      <c r="AA45" s="40"/>
      <c r="AB45" s="40"/>
      <c r="AC45" s="40"/>
      <c r="AD45" s="40"/>
      <c r="AE45" s="40"/>
      <c r="AF45" s="40"/>
      <c r="AG45" s="40"/>
      <c r="AH45" s="40">
        <v>30</v>
      </c>
      <c r="AI45" s="40"/>
      <c r="AJ45" s="40"/>
      <c r="AK45" s="40"/>
      <c r="AL45" s="40"/>
      <c r="AM45" s="40"/>
      <c r="AN45" s="40"/>
      <c r="AO45" s="40"/>
      <c r="AP45" s="40"/>
      <c r="AQ45" s="25"/>
      <c r="AR45" s="40"/>
      <c r="AS45" s="40"/>
      <c r="AT45" s="40"/>
      <c r="AU45" s="40"/>
      <c r="AV45" s="40"/>
      <c r="AW45" s="40"/>
      <c r="AX45" s="40"/>
      <c r="AY45" s="21"/>
      <c r="BA45" s="25"/>
      <c r="BB45" s="25"/>
      <c r="BC45" s="25"/>
      <c r="BD45" s="25"/>
      <c r="BE45" s="25"/>
      <c r="BF45" s="25"/>
      <c r="BG45" s="25"/>
      <c r="BH45" s="25"/>
      <c r="BI45" s="25"/>
      <c r="BJ45" s="25"/>
      <c r="BK45" s="25"/>
      <c r="BL45" s="25"/>
      <c r="BM45" s="25"/>
      <c r="BN45" s="25"/>
      <c r="BO45" s="25"/>
      <c r="BP45" s="25"/>
      <c r="BQ45" s="25"/>
      <c r="BR45" s="25"/>
      <c r="BS45" s="25"/>
      <c r="BT45" s="25">
        <f t="shared" si="3"/>
        <v>30</v>
      </c>
      <c r="BU45" s="28">
        <f t="shared" si="0"/>
        <v>30</v>
      </c>
      <c r="BV45" s="25">
        <f t="shared" si="1"/>
        <v>11.666666666666668</v>
      </c>
      <c r="BW45" s="25">
        <f t="shared" si="4"/>
        <v>350.00000000000006</v>
      </c>
      <c r="BX45" s="25">
        <v>350</v>
      </c>
      <c r="BY45" s="22">
        <v>14</v>
      </c>
      <c r="BZ45" s="22">
        <f t="shared" si="2"/>
        <v>420</v>
      </c>
    </row>
    <row r="46" spans="1:80" ht="29.25" customHeight="1" x14ac:dyDescent="0.25">
      <c r="A46" s="23">
        <v>45</v>
      </c>
      <c r="B46" s="64" t="s">
        <v>170</v>
      </c>
      <c r="C46" s="40" t="s">
        <v>170</v>
      </c>
      <c r="D46" s="64" t="s">
        <v>171</v>
      </c>
      <c r="E46" s="65" t="s">
        <v>82</v>
      </c>
      <c r="F46" s="40"/>
      <c r="G46" s="40"/>
      <c r="H46" s="40"/>
      <c r="I46" s="40"/>
      <c r="J46" s="40"/>
      <c r="K46" s="40"/>
      <c r="L46" s="40"/>
      <c r="M46" s="40"/>
      <c r="N46" s="40"/>
      <c r="O46" s="40"/>
      <c r="P46" s="40"/>
      <c r="Q46" s="40"/>
      <c r="R46" s="40"/>
      <c r="S46" s="40"/>
      <c r="T46" s="25"/>
      <c r="U46" s="25"/>
      <c r="V46" s="25"/>
      <c r="W46" s="40"/>
      <c r="X46" s="40"/>
      <c r="Y46" s="40"/>
      <c r="Z46" s="40"/>
      <c r="AA46" s="40"/>
      <c r="AB46" s="40"/>
      <c r="AC46" s="40"/>
      <c r="AD46" s="40"/>
      <c r="AE46" s="40"/>
      <c r="AF46" s="40"/>
      <c r="AG46" s="40"/>
      <c r="AH46" s="40">
        <v>20</v>
      </c>
      <c r="AI46" s="40"/>
      <c r="AJ46" s="40"/>
      <c r="AK46" s="40"/>
      <c r="AL46" s="40"/>
      <c r="AM46" s="40"/>
      <c r="AN46" s="40"/>
      <c r="AO46" s="40"/>
      <c r="AP46" s="40"/>
      <c r="AQ46" s="25"/>
      <c r="AR46" s="40"/>
      <c r="AS46" s="40"/>
      <c r="AT46" s="40"/>
      <c r="AU46" s="40"/>
      <c r="AV46" s="40"/>
      <c r="AW46" s="40"/>
      <c r="AX46" s="40"/>
      <c r="AY46" s="21"/>
      <c r="BA46" s="25"/>
      <c r="BB46" s="25"/>
      <c r="BC46" s="25"/>
      <c r="BD46" s="25"/>
      <c r="BE46" s="25"/>
      <c r="BF46" s="25"/>
      <c r="BG46" s="25"/>
      <c r="BH46" s="25"/>
      <c r="BI46" s="25"/>
      <c r="BJ46" s="25"/>
      <c r="BK46" s="25"/>
      <c r="BL46" s="25"/>
      <c r="BM46" s="25"/>
      <c r="BN46" s="25"/>
      <c r="BO46" s="25"/>
      <c r="BP46" s="25"/>
      <c r="BQ46" s="25"/>
      <c r="BR46" s="25"/>
      <c r="BS46" s="25"/>
      <c r="BT46" s="25">
        <f t="shared" si="3"/>
        <v>20</v>
      </c>
      <c r="BU46" s="28">
        <f t="shared" si="0"/>
        <v>20</v>
      </c>
      <c r="BV46" s="25">
        <f t="shared" si="1"/>
        <v>12.666666666666666</v>
      </c>
      <c r="BW46" s="25">
        <f t="shared" si="4"/>
        <v>253.33333333333331</v>
      </c>
      <c r="BX46" s="25">
        <v>253.34</v>
      </c>
      <c r="BY46" s="22">
        <v>15.2</v>
      </c>
      <c r="BZ46" s="22">
        <f t="shared" si="2"/>
        <v>304</v>
      </c>
    </row>
    <row r="47" spans="1:80" ht="29.25" customHeight="1" x14ac:dyDescent="0.25">
      <c r="A47" s="29">
        <v>46</v>
      </c>
      <c r="B47" s="30" t="s">
        <v>172</v>
      </c>
      <c r="C47" s="25" t="s">
        <v>172</v>
      </c>
      <c r="D47" s="30" t="s">
        <v>173</v>
      </c>
      <c r="E47" s="29" t="s">
        <v>82</v>
      </c>
      <c r="F47" s="25"/>
      <c r="G47" s="25"/>
      <c r="H47" s="25"/>
      <c r="I47" s="25"/>
      <c r="J47" s="25"/>
      <c r="K47" s="25"/>
      <c r="L47" s="25"/>
      <c r="M47" s="25"/>
      <c r="N47" s="25"/>
      <c r="O47" s="25"/>
      <c r="P47" s="25"/>
      <c r="Q47" s="25"/>
      <c r="R47" s="25"/>
      <c r="S47" s="25"/>
      <c r="T47" s="25"/>
      <c r="U47" s="25"/>
      <c r="V47" s="25"/>
      <c r="W47" s="25"/>
      <c r="X47" s="25"/>
      <c r="Y47" s="25"/>
      <c r="Z47" s="25"/>
      <c r="AA47" s="25"/>
      <c r="AB47" s="25"/>
      <c r="AF47" s="25"/>
      <c r="AG47" s="25"/>
      <c r="AH47" s="40"/>
      <c r="AI47" s="40"/>
      <c r="AK47" s="25"/>
      <c r="AN47" s="25"/>
      <c r="AO47" s="25">
        <v>138</v>
      </c>
      <c r="AP47" s="40"/>
      <c r="AQ47" s="25"/>
      <c r="AR47" s="25"/>
      <c r="AS47" s="25"/>
      <c r="AT47" s="25"/>
      <c r="AV47" s="25"/>
      <c r="AW47" s="25"/>
      <c r="AX47" s="25"/>
      <c r="AY47" s="21"/>
      <c r="BA47" s="25"/>
      <c r="BB47" s="25"/>
      <c r="BC47" s="25"/>
      <c r="BD47" s="25"/>
      <c r="BE47" s="25"/>
      <c r="BF47" s="25"/>
      <c r="BG47" s="25"/>
      <c r="BH47" s="25"/>
      <c r="BI47" s="25"/>
      <c r="BJ47" s="25"/>
      <c r="BK47" s="25"/>
      <c r="BL47" s="25"/>
      <c r="BM47" s="25"/>
      <c r="BN47" s="25"/>
      <c r="BO47" s="25"/>
      <c r="BP47" s="25"/>
      <c r="BQ47" s="25"/>
      <c r="BR47" s="25"/>
      <c r="BS47" s="25"/>
      <c r="BT47" s="25">
        <f t="shared" si="3"/>
        <v>138</v>
      </c>
      <c r="BU47" s="28">
        <f t="shared" si="0"/>
        <v>138</v>
      </c>
      <c r="BV47" s="25">
        <f t="shared" si="1"/>
        <v>29.166666666666668</v>
      </c>
      <c r="BW47" s="25">
        <f t="shared" si="4"/>
        <v>4025</v>
      </c>
      <c r="BX47" s="25">
        <v>4025</v>
      </c>
      <c r="BY47" s="54">
        <v>35</v>
      </c>
      <c r="BZ47" s="22">
        <f t="shared" si="2"/>
        <v>4830</v>
      </c>
      <c r="CA47" s="20" t="s">
        <v>142</v>
      </c>
      <c r="CB47" s="20" t="e">
        <f>#REF!+CA47</f>
        <v>#REF!</v>
      </c>
    </row>
    <row r="48" spans="1:80" ht="29.25" customHeight="1" x14ac:dyDescent="0.25">
      <c r="A48" s="23">
        <v>47</v>
      </c>
      <c r="B48" s="30" t="s">
        <v>172</v>
      </c>
      <c r="C48" s="25" t="s">
        <v>172</v>
      </c>
      <c r="D48" s="30" t="s">
        <v>174</v>
      </c>
      <c r="E48" s="29" t="s">
        <v>82</v>
      </c>
      <c r="F48" s="25"/>
      <c r="G48" s="25"/>
      <c r="H48" s="25"/>
      <c r="I48" s="25"/>
      <c r="J48" s="25"/>
      <c r="K48" s="25"/>
      <c r="L48" s="25"/>
      <c r="M48" s="25"/>
      <c r="N48" s="25"/>
      <c r="O48" s="25"/>
      <c r="P48" s="25"/>
      <c r="Q48" s="25"/>
      <c r="R48" s="25"/>
      <c r="S48" s="25"/>
      <c r="T48" s="25"/>
      <c r="U48" s="25"/>
      <c r="V48" s="25"/>
      <c r="W48" s="25"/>
      <c r="X48" s="25"/>
      <c r="Y48" s="25"/>
      <c r="Z48" s="25"/>
      <c r="AA48" s="25"/>
      <c r="AB48" s="25"/>
      <c r="AF48" s="25"/>
      <c r="AG48" s="25"/>
      <c r="AH48" s="40"/>
      <c r="AI48" s="40"/>
      <c r="AK48" s="25"/>
      <c r="AN48" s="25"/>
      <c r="AO48" s="25">
        <v>145</v>
      </c>
      <c r="AP48" s="40"/>
      <c r="AQ48" s="25"/>
      <c r="AR48" s="25"/>
      <c r="AS48" s="25"/>
      <c r="AT48" s="25"/>
      <c r="AV48" s="25"/>
      <c r="AW48" s="25"/>
      <c r="AX48" s="25"/>
      <c r="AY48" s="21"/>
      <c r="BA48" s="25"/>
      <c r="BB48" s="25"/>
      <c r="BC48" s="25"/>
      <c r="BD48" s="25"/>
      <c r="BE48" s="25"/>
      <c r="BF48" s="25"/>
      <c r="BG48" s="25"/>
      <c r="BH48" s="25"/>
      <c r="BI48" s="25"/>
      <c r="BJ48" s="25"/>
      <c r="BK48" s="25"/>
      <c r="BL48" s="25"/>
      <c r="BM48" s="25"/>
      <c r="BN48" s="25"/>
      <c r="BO48" s="25"/>
      <c r="BP48" s="25"/>
      <c r="BQ48" s="25"/>
      <c r="BR48" s="25"/>
      <c r="BS48" s="25"/>
      <c r="BT48" s="25">
        <f t="shared" si="3"/>
        <v>145</v>
      </c>
      <c r="BU48" s="28">
        <f t="shared" si="0"/>
        <v>145</v>
      </c>
      <c r="BV48" s="25">
        <f t="shared" si="1"/>
        <v>29.166666666666668</v>
      </c>
      <c r="BW48" s="25">
        <f t="shared" si="4"/>
        <v>4229.166666666667</v>
      </c>
      <c r="BX48" s="25">
        <v>4229.17</v>
      </c>
      <c r="BY48" s="54">
        <v>35</v>
      </c>
      <c r="BZ48" s="22">
        <f t="shared" si="2"/>
        <v>5075</v>
      </c>
      <c r="CA48" s="20" t="s">
        <v>142</v>
      </c>
    </row>
    <row r="49" spans="1:79" ht="29.25" customHeight="1" x14ac:dyDescent="0.25">
      <c r="A49" s="29">
        <v>48</v>
      </c>
      <c r="B49" s="24" t="s">
        <v>175</v>
      </c>
      <c r="C49" s="21" t="s">
        <v>175</v>
      </c>
      <c r="D49" s="24" t="s">
        <v>176</v>
      </c>
      <c r="E49" s="23" t="s">
        <v>177</v>
      </c>
      <c r="F49" s="22"/>
      <c r="G49" s="22"/>
      <c r="H49" s="22"/>
      <c r="I49" s="22"/>
      <c r="J49" s="22"/>
      <c r="K49" s="22"/>
      <c r="L49" s="22"/>
      <c r="M49" s="22"/>
      <c r="N49" s="22"/>
      <c r="O49" s="22"/>
      <c r="P49" s="22"/>
      <c r="Q49" s="22"/>
      <c r="R49" s="22"/>
      <c r="S49" s="22"/>
      <c r="T49" s="25"/>
      <c r="U49" s="25"/>
      <c r="V49" s="25"/>
      <c r="W49" s="22"/>
      <c r="X49" s="22"/>
      <c r="Y49" s="22"/>
      <c r="Z49" s="22"/>
      <c r="AA49" s="22"/>
      <c r="AB49" s="22"/>
      <c r="AC49" s="22"/>
      <c r="AD49" s="22"/>
      <c r="AG49" s="22"/>
      <c r="AJ49" s="22"/>
      <c r="AK49" s="22">
        <v>5</v>
      </c>
      <c r="AO49" s="25"/>
      <c r="AQ49" s="25"/>
      <c r="AR49" s="27"/>
      <c r="AS49" s="27"/>
      <c r="AT49" s="27"/>
      <c r="BA49" s="25"/>
      <c r="BB49" s="25"/>
      <c r="BC49" s="25"/>
      <c r="BD49" s="25"/>
      <c r="BE49" s="25"/>
      <c r="BF49" s="25"/>
      <c r="BG49" s="25"/>
      <c r="BH49" s="25"/>
      <c r="BI49" s="25"/>
      <c r="BJ49" s="25"/>
      <c r="BK49" s="25"/>
      <c r="BL49" s="25"/>
      <c r="BM49" s="25"/>
      <c r="BN49" s="25"/>
      <c r="BO49" s="25"/>
      <c r="BP49" s="25"/>
      <c r="BQ49" s="25"/>
      <c r="BR49" s="25"/>
      <c r="BS49" s="25"/>
      <c r="BT49" s="25">
        <f t="shared" si="3"/>
        <v>5</v>
      </c>
      <c r="BU49" s="28">
        <f t="shared" si="0"/>
        <v>5</v>
      </c>
      <c r="BV49" s="25">
        <f t="shared" si="1"/>
        <v>2583.3333333333335</v>
      </c>
      <c r="BW49" s="25">
        <f t="shared" si="4"/>
        <v>12916.666666666668</v>
      </c>
      <c r="BX49" s="25">
        <v>12916.67</v>
      </c>
      <c r="BY49" s="22">
        <v>3100</v>
      </c>
      <c r="BZ49" s="22">
        <f t="shared" si="2"/>
        <v>15500</v>
      </c>
    </row>
    <row r="50" spans="1:79" ht="29.25" customHeight="1" x14ac:dyDescent="0.25">
      <c r="A50" s="23">
        <v>49</v>
      </c>
      <c r="B50" s="24" t="s">
        <v>178</v>
      </c>
      <c r="C50" s="21" t="s">
        <v>178</v>
      </c>
      <c r="D50" s="24" t="s">
        <v>179</v>
      </c>
      <c r="E50" s="39" t="s">
        <v>82</v>
      </c>
      <c r="F50" s="21"/>
      <c r="G50" s="22"/>
      <c r="H50" s="22"/>
      <c r="I50" s="22"/>
      <c r="J50" s="22"/>
      <c r="K50" s="22"/>
      <c r="L50" s="22"/>
      <c r="M50" s="22"/>
      <c r="N50" s="22"/>
      <c r="O50" s="22"/>
      <c r="P50" s="22"/>
      <c r="Q50" s="22"/>
      <c r="R50" s="22"/>
      <c r="S50" s="22"/>
      <c r="T50" s="25"/>
      <c r="U50" s="25"/>
      <c r="V50" s="25"/>
      <c r="W50" s="22"/>
      <c r="X50" s="22"/>
      <c r="Y50" s="22"/>
      <c r="Z50" s="22"/>
      <c r="AA50" s="22"/>
      <c r="AB50" s="22"/>
      <c r="AC50" s="22"/>
      <c r="AD50" s="22"/>
      <c r="AG50" s="22"/>
      <c r="AJ50" s="22"/>
      <c r="AK50" s="22">
        <v>600</v>
      </c>
      <c r="AO50" s="25"/>
      <c r="AQ50" s="25"/>
      <c r="AR50" s="27"/>
      <c r="AS50" s="27"/>
      <c r="AT50" s="27"/>
      <c r="BA50" s="25"/>
      <c r="BB50" s="25"/>
      <c r="BC50" s="25"/>
      <c r="BD50" s="25"/>
      <c r="BE50" s="25"/>
      <c r="BF50" s="25"/>
      <c r="BG50" s="25"/>
      <c r="BH50" s="25"/>
      <c r="BI50" s="25"/>
      <c r="BJ50" s="25"/>
      <c r="BK50" s="25"/>
      <c r="BL50" s="25"/>
      <c r="BM50" s="25"/>
      <c r="BN50" s="25"/>
      <c r="BO50" s="25"/>
      <c r="BP50" s="25"/>
      <c r="BQ50" s="25"/>
      <c r="BR50" s="25"/>
      <c r="BS50" s="25"/>
      <c r="BT50" s="25">
        <f t="shared" si="3"/>
        <v>600</v>
      </c>
      <c r="BU50" s="28">
        <f t="shared" si="0"/>
        <v>600</v>
      </c>
      <c r="BV50" s="25">
        <f t="shared" si="1"/>
        <v>771.66666666666674</v>
      </c>
      <c r="BW50" s="25">
        <f t="shared" si="4"/>
        <v>463000.00000000006</v>
      </c>
      <c r="BX50" s="25">
        <v>463000</v>
      </c>
      <c r="BY50" s="22">
        <v>926</v>
      </c>
      <c r="BZ50" s="22">
        <f t="shared" si="2"/>
        <v>555600</v>
      </c>
    </row>
    <row r="51" spans="1:79" ht="29.25" customHeight="1" x14ac:dyDescent="0.25">
      <c r="A51" s="29">
        <v>50</v>
      </c>
      <c r="B51" s="30" t="s">
        <v>180</v>
      </c>
      <c r="C51" s="25" t="s">
        <v>180</v>
      </c>
      <c r="D51" s="30" t="s">
        <v>181</v>
      </c>
      <c r="E51" s="29" t="s">
        <v>82</v>
      </c>
      <c r="F51" s="25"/>
      <c r="G51" s="25"/>
      <c r="H51" s="25"/>
      <c r="I51" s="25"/>
      <c r="J51" s="25"/>
      <c r="K51" s="25"/>
      <c r="L51" s="25"/>
      <c r="M51" s="25"/>
      <c r="N51" s="25"/>
      <c r="O51" s="25"/>
      <c r="P51" s="25"/>
      <c r="Q51" s="25"/>
      <c r="R51" s="25"/>
      <c r="S51" s="25"/>
      <c r="T51" s="25"/>
      <c r="U51" s="25"/>
      <c r="V51" s="25"/>
      <c r="W51" s="25"/>
      <c r="X51" s="25"/>
      <c r="Y51" s="25"/>
      <c r="Z51" s="25"/>
      <c r="AA51" s="25"/>
      <c r="AB51" s="25"/>
      <c r="AF51" s="25"/>
      <c r="AG51" s="25"/>
      <c r="AH51" s="40"/>
      <c r="AI51" s="40"/>
      <c r="AK51" s="25"/>
      <c r="AN51" s="25"/>
      <c r="AO51" s="25">
        <v>15</v>
      </c>
      <c r="AP51" s="40"/>
      <c r="AQ51" s="25"/>
      <c r="AR51" s="25"/>
      <c r="AS51" s="25"/>
      <c r="AT51" s="25"/>
      <c r="AV51" s="25"/>
      <c r="AW51" s="25"/>
      <c r="AX51" s="25"/>
      <c r="AY51" s="21"/>
      <c r="BA51" s="25"/>
      <c r="BB51" s="25"/>
      <c r="BC51" s="25"/>
      <c r="BD51" s="25"/>
      <c r="BE51" s="25"/>
      <c r="BF51" s="25"/>
      <c r="BG51" s="25"/>
      <c r="BH51" s="25"/>
      <c r="BI51" s="25"/>
      <c r="BJ51" s="25"/>
      <c r="BK51" s="25"/>
      <c r="BL51" s="25"/>
      <c r="BM51" s="25"/>
      <c r="BN51" s="25"/>
      <c r="BO51" s="25"/>
      <c r="BP51" s="25"/>
      <c r="BQ51" s="25"/>
      <c r="BR51" s="25"/>
      <c r="BS51" s="25"/>
      <c r="BT51" s="25">
        <f t="shared" si="3"/>
        <v>15</v>
      </c>
      <c r="BU51" s="28">
        <f t="shared" si="0"/>
        <v>15</v>
      </c>
      <c r="BV51" s="25">
        <f t="shared" si="1"/>
        <v>540</v>
      </c>
      <c r="BW51" s="25">
        <f t="shared" si="4"/>
        <v>8100</v>
      </c>
      <c r="BX51" s="25">
        <v>8100</v>
      </c>
      <c r="BY51" s="54">
        <v>648</v>
      </c>
      <c r="BZ51" s="22">
        <f t="shared" si="2"/>
        <v>9720</v>
      </c>
    </row>
    <row r="52" spans="1:79" ht="29.25" customHeight="1" x14ac:dyDescent="0.25">
      <c r="A52" s="23">
        <v>51</v>
      </c>
      <c r="B52" s="30" t="s">
        <v>182</v>
      </c>
      <c r="C52" s="25" t="s">
        <v>182</v>
      </c>
      <c r="D52" s="30" t="s">
        <v>183</v>
      </c>
      <c r="E52" s="29" t="s">
        <v>82</v>
      </c>
      <c r="F52" s="25"/>
      <c r="G52" s="25"/>
      <c r="H52" s="25"/>
      <c r="I52" s="25"/>
      <c r="J52" s="25"/>
      <c r="K52" s="25"/>
      <c r="L52" s="25"/>
      <c r="M52" s="25"/>
      <c r="N52" s="25"/>
      <c r="O52" s="25"/>
      <c r="P52" s="25"/>
      <c r="Q52" s="25"/>
      <c r="R52" s="25"/>
      <c r="S52" s="25"/>
      <c r="T52" s="25"/>
      <c r="U52" s="25"/>
      <c r="V52" s="25"/>
      <c r="W52" s="25"/>
      <c r="X52" s="25"/>
      <c r="Y52" s="25"/>
      <c r="Z52" s="25"/>
      <c r="AA52" s="25"/>
      <c r="AB52" s="25"/>
      <c r="AF52" s="25"/>
      <c r="AG52" s="25"/>
      <c r="AH52" s="40"/>
      <c r="AI52" s="40"/>
      <c r="AK52" s="25"/>
      <c r="AN52" s="25"/>
      <c r="AO52" s="25">
        <v>18</v>
      </c>
      <c r="AP52" s="40"/>
      <c r="AQ52" s="25"/>
      <c r="AR52" s="25"/>
      <c r="AS52" s="25"/>
      <c r="AT52" s="25"/>
      <c r="AV52" s="25"/>
      <c r="AW52" s="25"/>
      <c r="AX52" s="25"/>
      <c r="AY52" s="21"/>
      <c r="BA52" s="25"/>
      <c r="BB52" s="25"/>
      <c r="BC52" s="25"/>
      <c r="BD52" s="25"/>
      <c r="BE52" s="25"/>
      <c r="BF52" s="25"/>
      <c r="BG52" s="25"/>
      <c r="BH52" s="25"/>
      <c r="BI52" s="25"/>
      <c r="BJ52" s="25"/>
      <c r="BK52" s="25"/>
      <c r="BL52" s="25"/>
      <c r="BM52" s="25"/>
      <c r="BN52" s="25"/>
      <c r="BO52" s="25"/>
      <c r="BP52" s="25"/>
      <c r="BQ52" s="25"/>
      <c r="BR52" s="25"/>
      <c r="BS52" s="25"/>
      <c r="BT52" s="25">
        <f t="shared" si="3"/>
        <v>18</v>
      </c>
      <c r="BU52" s="28">
        <f t="shared" si="0"/>
        <v>18</v>
      </c>
      <c r="BV52" s="25">
        <f t="shared" si="1"/>
        <v>540</v>
      </c>
      <c r="BW52" s="25">
        <f t="shared" si="4"/>
        <v>9720</v>
      </c>
      <c r="BX52" s="25">
        <v>9720</v>
      </c>
      <c r="BY52" s="54">
        <v>648</v>
      </c>
      <c r="BZ52" s="22">
        <f t="shared" si="2"/>
        <v>11664</v>
      </c>
    </row>
    <row r="53" spans="1:79" ht="29.25" customHeight="1" x14ac:dyDescent="0.25">
      <c r="A53" s="29">
        <v>52</v>
      </c>
      <c r="B53" s="30" t="s">
        <v>184</v>
      </c>
      <c r="C53" s="25" t="s">
        <v>184</v>
      </c>
      <c r="D53" s="30" t="s">
        <v>185</v>
      </c>
      <c r="E53" s="29" t="s">
        <v>82</v>
      </c>
      <c r="F53" s="25"/>
      <c r="G53" s="25"/>
      <c r="H53" s="25"/>
      <c r="I53" s="25"/>
      <c r="J53" s="25"/>
      <c r="K53" s="25"/>
      <c r="L53" s="25"/>
      <c r="M53" s="25"/>
      <c r="N53" s="25"/>
      <c r="O53" s="25"/>
      <c r="P53" s="25"/>
      <c r="Q53" s="25"/>
      <c r="R53" s="25"/>
      <c r="S53" s="25"/>
      <c r="T53" s="25"/>
      <c r="U53" s="25"/>
      <c r="V53" s="25"/>
      <c r="W53" s="25"/>
      <c r="X53" s="25"/>
      <c r="Y53" s="25"/>
      <c r="Z53" s="25"/>
      <c r="AA53" s="25"/>
      <c r="AB53" s="25"/>
      <c r="AF53" s="25"/>
      <c r="AG53" s="25"/>
      <c r="AH53" s="40"/>
      <c r="AI53" s="40"/>
      <c r="AK53" s="25"/>
      <c r="AN53" s="25"/>
      <c r="AO53" s="25">
        <v>11</v>
      </c>
      <c r="AP53" s="40"/>
      <c r="AQ53" s="25"/>
      <c r="AR53" s="25"/>
      <c r="AS53" s="25"/>
      <c r="AT53" s="25"/>
      <c r="AV53" s="25"/>
      <c r="AW53" s="25"/>
      <c r="AX53" s="25"/>
      <c r="AY53" s="21"/>
      <c r="BA53" s="25"/>
      <c r="BB53" s="25"/>
      <c r="BC53" s="25"/>
      <c r="BD53" s="25"/>
      <c r="BE53" s="25"/>
      <c r="BF53" s="25"/>
      <c r="BG53" s="25"/>
      <c r="BH53" s="25"/>
      <c r="BI53" s="25"/>
      <c r="BJ53" s="25"/>
      <c r="BK53" s="25"/>
      <c r="BL53" s="25"/>
      <c r="BM53" s="25"/>
      <c r="BN53" s="25"/>
      <c r="BO53" s="25"/>
      <c r="BP53" s="25"/>
      <c r="BQ53" s="25"/>
      <c r="BR53" s="25"/>
      <c r="BS53" s="25"/>
      <c r="BT53" s="25">
        <f t="shared" si="3"/>
        <v>11</v>
      </c>
      <c r="BU53" s="28">
        <f t="shared" si="0"/>
        <v>11</v>
      </c>
      <c r="BV53" s="25">
        <f t="shared" si="1"/>
        <v>540</v>
      </c>
      <c r="BW53" s="25">
        <f t="shared" si="4"/>
        <v>5940</v>
      </c>
      <c r="BX53" s="25">
        <v>5940</v>
      </c>
      <c r="BY53" s="54">
        <v>648</v>
      </c>
      <c r="BZ53" s="22">
        <f t="shared" si="2"/>
        <v>7128</v>
      </c>
    </row>
    <row r="54" spans="1:79" ht="29.25" customHeight="1" x14ac:dyDescent="0.25">
      <c r="A54" s="23">
        <v>53</v>
      </c>
      <c r="B54" s="30" t="s">
        <v>186</v>
      </c>
      <c r="C54" s="25" t="s">
        <v>186</v>
      </c>
      <c r="D54" s="30" t="s">
        <v>187</v>
      </c>
      <c r="E54" s="56" t="s">
        <v>82</v>
      </c>
      <c r="F54" s="55"/>
      <c r="G54" s="27"/>
      <c r="H54" s="27"/>
      <c r="I54" s="27"/>
      <c r="J54" s="27"/>
      <c r="K54" s="27"/>
      <c r="L54" s="27"/>
      <c r="M54" s="27"/>
      <c r="N54" s="27"/>
      <c r="O54" s="27"/>
      <c r="P54" s="27"/>
      <c r="Q54" s="27"/>
      <c r="R54" s="27"/>
      <c r="S54" s="27"/>
      <c r="T54" s="25"/>
      <c r="U54" s="25"/>
      <c r="V54" s="25"/>
      <c r="W54" s="27"/>
      <c r="X54" s="27"/>
      <c r="Y54" s="27"/>
      <c r="Z54" s="27"/>
      <c r="AA54" s="27"/>
      <c r="AB54" s="27"/>
      <c r="AC54" s="25">
        <v>400</v>
      </c>
      <c r="AO54" s="25"/>
      <c r="AQ54" s="25"/>
      <c r="AR54" s="27"/>
      <c r="AS54" s="27"/>
      <c r="AT54" s="27"/>
      <c r="BA54" s="25"/>
      <c r="BB54" s="25"/>
      <c r="BC54" s="25"/>
      <c r="BD54" s="25"/>
      <c r="BE54" s="25"/>
      <c r="BF54" s="25"/>
      <c r="BG54" s="25"/>
      <c r="BH54" s="25"/>
      <c r="BI54" s="25"/>
      <c r="BJ54" s="25"/>
      <c r="BK54" s="25"/>
      <c r="BL54" s="25"/>
      <c r="BM54" s="25"/>
      <c r="BN54" s="25"/>
      <c r="BO54" s="25"/>
      <c r="BP54" s="25"/>
      <c r="BQ54" s="25"/>
      <c r="BR54" s="25"/>
      <c r="BS54" s="25"/>
      <c r="BT54" s="25">
        <f t="shared" si="3"/>
        <v>400</v>
      </c>
      <c r="BU54" s="28">
        <f t="shared" si="0"/>
        <v>400</v>
      </c>
      <c r="BV54" s="25">
        <f t="shared" si="1"/>
        <v>45.833333333333336</v>
      </c>
      <c r="BW54" s="25">
        <f t="shared" si="4"/>
        <v>18333.333333333336</v>
      </c>
      <c r="BX54" s="25">
        <v>18333.34</v>
      </c>
      <c r="BY54" s="66">
        <v>55</v>
      </c>
      <c r="BZ54" s="22">
        <f t="shared" si="2"/>
        <v>22000</v>
      </c>
    </row>
    <row r="55" spans="1:79" ht="29.25" customHeight="1" x14ac:dyDescent="0.25">
      <c r="A55" s="29">
        <v>54</v>
      </c>
      <c r="B55" s="30" t="s">
        <v>188</v>
      </c>
      <c r="C55" s="25" t="s">
        <v>188</v>
      </c>
      <c r="D55" s="30" t="s">
        <v>189</v>
      </c>
      <c r="E55" s="29" t="s">
        <v>82</v>
      </c>
      <c r="F55" s="25"/>
      <c r="G55" s="25"/>
      <c r="H55" s="25"/>
      <c r="I55" s="25"/>
      <c r="J55" s="25"/>
      <c r="K55" s="25"/>
      <c r="L55" s="25"/>
      <c r="M55" s="25"/>
      <c r="N55" s="25"/>
      <c r="O55" s="25"/>
      <c r="P55" s="25"/>
      <c r="Q55" s="25"/>
      <c r="R55" s="25"/>
      <c r="S55" s="25"/>
      <c r="T55" s="25"/>
      <c r="U55" s="25"/>
      <c r="V55" s="25"/>
      <c r="W55" s="25"/>
      <c r="X55" s="25"/>
      <c r="Y55" s="25"/>
      <c r="Z55" s="25"/>
      <c r="AA55" s="25"/>
      <c r="AB55" s="25"/>
      <c r="AF55" s="25"/>
      <c r="AG55" s="25"/>
      <c r="AJ55" s="25">
        <v>60</v>
      </c>
      <c r="AO55" s="25"/>
      <c r="AQ55" s="25"/>
      <c r="AR55" s="27"/>
      <c r="AS55" s="27"/>
      <c r="AT55" s="27"/>
      <c r="BA55" s="25"/>
      <c r="BB55" s="25"/>
      <c r="BC55" s="25"/>
      <c r="BD55" s="25"/>
      <c r="BE55" s="25"/>
      <c r="BF55" s="25"/>
      <c r="BG55" s="25"/>
      <c r="BH55" s="25"/>
      <c r="BI55" s="25"/>
      <c r="BJ55" s="25"/>
      <c r="BK55" s="25"/>
      <c r="BL55" s="25"/>
      <c r="BM55" s="25"/>
      <c r="BN55" s="25"/>
      <c r="BO55" s="25"/>
      <c r="BP55" s="25"/>
      <c r="BQ55" s="25"/>
      <c r="BR55" s="25"/>
      <c r="BS55" s="25"/>
      <c r="BT55" s="25">
        <f t="shared" si="3"/>
        <v>60</v>
      </c>
      <c r="BU55" s="28">
        <f t="shared" si="0"/>
        <v>60</v>
      </c>
      <c r="BV55" s="25">
        <f t="shared" si="1"/>
        <v>166.66666666666669</v>
      </c>
      <c r="BW55" s="25">
        <f t="shared" si="4"/>
        <v>10000.000000000002</v>
      </c>
      <c r="BX55" s="25">
        <v>10000</v>
      </c>
      <c r="BY55" s="23">
        <v>200</v>
      </c>
      <c r="BZ55" s="22">
        <f t="shared" si="2"/>
        <v>12000</v>
      </c>
    </row>
    <row r="56" spans="1:79" ht="29.25" customHeight="1" x14ac:dyDescent="0.25">
      <c r="A56" s="23">
        <v>55</v>
      </c>
      <c r="B56" s="30" t="s">
        <v>190</v>
      </c>
      <c r="C56" s="25" t="s">
        <v>190</v>
      </c>
      <c r="D56" s="30" t="s">
        <v>191</v>
      </c>
      <c r="E56" s="29" t="s">
        <v>82</v>
      </c>
      <c r="F56" s="25"/>
      <c r="G56" s="25"/>
      <c r="H56" s="25"/>
      <c r="I56" s="25"/>
      <c r="J56" s="25"/>
      <c r="K56" s="25"/>
      <c r="L56" s="25"/>
      <c r="M56" s="25"/>
      <c r="N56" s="25"/>
      <c r="O56" s="25"/>
      <c r="P56" s="25"/>
      <c r="Q56" s="25"/>
      <c r="R56" s="25"/>
      <c r="S56" s="25"/>
      <c r="T56" s="25"/>
      <c r="U56" s="25"/>
      <c r="V56" s="25"/>
      <c r="W56" s="25"/>
      <c r="X56" s="25"/>
      <c r="Y56" s="25"/>
      <c r="Z56" s="25"/>
      <c r="AA56" s="25"/>
      <c r="AB56" s="25">
        <v>2</v>
      </c>
      <c r="AO56" s="25"/>
      <c r="AQ56" s="25"/>
      <c r="AR56" s="27"/>
      <c r="AS56" s="27"/>
      <c r="AT56" s="27"/>
      <c r="BA56" s="25"/>
      <c r="BB56" s="25"/>
      <c r="BC56" s="25"/>
      <c r="BD56" s="25"/>
      <c r="BE56" s="25"/>
      <c r="BF56" s="25"/>
      <c r="BG56" s="25"/>
      <c r="BH56" s="25"/>
      <c r="BI56" s="25"/>
      <c r="BJ56" s="25"/>
      <c r="BK56" s="25"/>
      <c r="BL56" s="25"/>
      <c r="BM56" s="25"/>
      <c r="BN56" s="25"/>
      <c r="BO56" s="25"/>
      <c r="BP56" s="25"/>
      <c r="BQ56" s="25"/>
      <c r="BR56" s="25"/>
      <c r="BS56" s="25"/>
      <c r="BT56" s="25">
        <f t="shared" si="3"/>
        <v>2</v>
      </c>
      <c r="BU56" s="28">
        <f t="shared" si="0"/>
        <v>2</v>
      </c>
      <c r="BV56" s="25">
        <f t="shared" si="1"/>
        <v>6834.375</v>
      </c>
      <c r="BW56" s="25">
        <f t="shared" si="4"/>
        <v>13668.75</v>
      </c>
      <c r="BX56" s="25">
        <v>13668.75</v>
      </c>
      <c r="BY56" s="38">
        <v>8201.25</v>
      </c>
      <c r="BZ56" s="22">
        <f t="shared" si="2"/>
        <v>16402.5</v>
      </c>
    </row>
    <row r="57" spans="1:79" ht="29.25" customHeight="1" x14ac:dyDescent="0.25">
      <c r="A57" s="29">
        <v>56</v>
      </c>
      <c r="B57" s="30" t="s">
        <v>192</v>
      </c>
      <c r="C57" s="25" t="s">
        <v>192</v>
      </c>
      <c r="D57" s="30" t="s">
        <v>193</v>
      </c>
      <c r="E57" s="29" t="s">
        <v>82</v>
      </c>
      <c r="F57" s="25"/>
      <c r="G57" s="25"/>
      <c r="H57" s="25"/>
      <c r="I57" s="25"/>
      <c r="J57" s="25"/>
      <c r="K57" s="25"/>
      <c r="L57" s="25"/>
      <c r="M57" s="25"/>
      <c r="N57" s="25"/>
      <c r="O57" s="25"/>
      <c r="P57" s="25"/>
      <c r="Q57" s="25"/>
      <c r="R57" s="25"/>
      <c r="S57" s="25"/>
      <c r="T57" s="25"/>
      <c r="U57" s="25"/>
      <c r="V57" s="25"/>
      <c r="W57" s="25"/>
      <c r="X57" s="25"/>
      <c r="Y57" s="25"/>
      <c r="Z57" s="25"/>
      <c r="AA57" s="25"/>
      <c r="AB57" s="25"/>
      <c r="AD57" s="25">
        <v>150</v>
      </c>
      <c r="AO57" s="25"/>
      <c r="AQ57" s="25"/>
      <c r="AR57" s="27"/>
      <c r="AS57" s="27"/>
      <c r="AT57" s="27"/>
      <c r="BA57" s="25"/>
      <c r="BB57" s="25"/>
      <c r="BC57" s="25"/>
      <c r="BD57" s="25"/>
      <c r="BE57" s="25"/>
      <c r="BF57" s="25"/>
      <c r="BG57" s="25"/>
      <c r="BH57" s="25"/>
      <c r="BI57" s="25"/>
      <c r="BJ57" s="25"/>
      <c r="BK57" s="25"/>
      <c r="BL57" s="25"/>
      <c r="BM57" s="25"/>
      <c r="BN57" s="25"/>
      <c r="BO57" s="25"/>
      <c r="BP57" s="25"/>
      <c r="BQ57" s="25"/>
      <c r="BR57" s="25"/>
      <c r="BS57" s="25"/>
      <c r="BT57" s="25">
        <f t="shared" si="3"/>
        <v>150</v>
      </c>
      <c r="BU57" s="28">
        <f t="shared" si="0"/>
        <v>150</v>
      </c>
      <c r="BV57" s="25">
        <f t="shared" si="1"/>
        <v>225</v>
      </c>
      <c r="BW57" s="25">
        <f t="shared" si="4"/>
        <v>33750</v>
      </c>
      <c r="BX57" s="25">
        <v>33750</v>
      </c>
      <c r="BY57" s="23">
        <v>270</v>
      </c>
      <c r="BZ57" s="22">
        <f t="shared" si="2"/>
        <v>40500</v>
      </c>
    </row>
    <row r="58" spans="1:79" ht="29.25" customHeight="1" x14ac:dyDescent="0.25">
      <c r="A58" s="23">
        <v>57</v>
      </c>
      <c r="B58" s="30" t="s">
        <v>194</v>
      </c>
      <c r="C58" s="25" t="s">
        <v>194</v>
      </c>
      <c r="D58" s="30" t="s">
        <v>195</v>
      </c>
      <c r="E58" s="29" t="s">
        <v>82</v>
      </c>
      <c r="F58" s="25"/>
      <c r="G58" s="25"/>
      <c r="H58" s="25"/>
      <c r="I58" s="25"/>
      <c r="J58" s="25"/>
      <c r="K58" s="25"/>
      <c r="L58" s="25"/>
      <c r="M58" s="25"/>
      <c r="N58" s="25"/>
      <c r="O58" s="25"/>
      <c r="P58" s="25"/>
      <c r="Q58" s="25"/>
      <c r="R58" s="25"/>
      <c r="S58" s="25"/>
      <c r="T58" s="25"/>
      <c r="U58" s="25"/>
      <c r="V58" s="25"/>
      <c r="W58" s="25"/>
      <c r="X58" s="25"/>
      <c r="Y58" s="25"/>
      <c r="Z58" s="25">
        <v>1000</v>
      </c>
      <c r="AA58" s="27"/>
      <c r="AB58" s="25"/>
      <c r="AO58" s="25"/>
      <c r="AQ58" s="25"/>
      <c r="AR58" s="27"/>
      <c r="AS58" s="27"/>
      <c r="AT58" s="27"/>
      <c r="BA58" s="25"/>
      <c r="BB58" s="25"/>
      <c r="BC58" s="25"/>
      <c r="BD58" s="25"/>
      <c r="BE58" s="25"/>
      <c r="BF58" s="25"/>
      <c r="BG58" s="25"/>
      <c r="BH58" s="25"/>
      <c r="BI58" s="25"/>
      <c r="BJ58" s="25"/>
      <c r="BK58" s="25"/>
      <c r="BL58" s="25"/>
      <c r="BM58" s="25"/>
      <c r="BN58" s="25"/>
      <c r="BO58" s="25"/>
      <c r="BP58" s="25"/>
      <c r="BQ58" s="25"/>
      <c r="BR58" s="25"/>
      <c r="BS58" s="25"/>
      <c r="BT58" s="25">
        <f t="shared" si="3"/>
        <v>1000</v>
      </c>
      <c r="BU58" s="28">
        <f t="shared" si="0"/>
        <v>1000</v>
      </c>
      <c r="BV58" s="25">
        <f t="shared" si="1"/>
        <v>66.666666666666671</v>
      </c>
      <c r="BW58" s="25">
        <f t="shared" si="4"/>
        <v>66666.666666666672</v>
      </c>
      <c r="BX58" s="25">
        <v>66666.67</v>
      </c>
      <c r="BY58" s="37">
        <v>80</v>
      </c>
      <c r="BZ58" s="22">
        <f t="shared" si="2"/>
        <v>80000</v>
      </c>
    </row>
    <row r="59" spans="1:79" ht="29.25" customHeight="1" x14ac:dyDescent="0.25">
      <c r="A59" s="29">
        <v>58</v>
      </c>
      <c r="B59" s="30" t="s">
        <v>196</v>
      </c>
      <c r="C59" s="25" t="s">
        <v>196</v>
      </c>
      <c r="D59" s="30" t="s">
        <v>196</v>
      </c>
      <c r="E59" s="29" t="s">
        <v>82</v>
      </c>
      <c r="F59" s="25"/>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3"/>
      <c r="AG59" s="34"/>
      <c r="AH59" s="31"/>
      <c r="AI59" s="31"/>
      <c r="AJ59" s="31"/>
      <c r="AK59" s="33"/>
      <c r="AL59" s="31"/>
      <c r="AM59" s="31"/>
      <c r="AN59" s="34"/>
      <c r="AO59" s="34"/>
      <c r="AP59" s="31"/>
      <c r="AQ59" s="31"/>
      <c r="AR59" s="33"/>
      <c r="AS59" s="33"/>
      <c r="AT59" s="33"/>
      <c r="AU59" s="31"/>
      <c r="AV59" s="35"/>
      <c r="AW59" s="34"/>
      <c r="AX59" s="34"/>
      <c r="AY59" s="33"/>
      <c r="AZ59" s="31"/>
      <c r="BA59" s="31"/>
      <c r="BB59" s="31"/>
      <c r="BC59" s="31"/>
      <c r="BD59" s="31"/>
      <c r="BE59" s="31"/>
      <c r="BF59" s="31"/>
      <c r="BG59" s="31"/>
      <c r="BH59" s="31"/>
      <c r="BI59" s="31"/>
      <c r="BJ59" s="31"/>
      <c r="BK59" s="42">
        <v>50</v>
      </c>
      <c r="BL59" s="42"/>
      <c r="BM59" s="42"/>
      <c r="BN59" s="42"/>
      <c r="BO59" s="42"/>
      <c r="BP59" s="42"/>
      <c r="BQ59" s="42"/>
      <c r="BR59" s="42"/>
      <c r="BS59" s="42"/>
      <c r="BT59" s="25">
        <f t="shared" si="3"/>
        <v>50</v>
      </c>
      <c r="BU59" s="28">
        <f t="shared" si="0"/>
        <v>50</v>
      </c>
      <c r="BV59" s="25">
        <f t="shared" si="1"/>
        <v>83.333333333333343</v>
      </c>
      <c r="BW59" s="25">
        <f t="shared" si="4"/>
        <v>4166.666666666667</v>
      </c>
      <c r="BX59" s="25">
        <v>4166.67</v>
      </c>
      <c r="BY59" s="43">
        <v>100</v>
      </c>
      <c r="BZ59" s="22">
        <f t="shared" si="2"/>
        <v>5000</v>
      </c>
      <c r="CA59" s="20" t="s">
        <v>83</v>
      </c>
    </row>
    <row r="60" spans="1:79" ht="29.25" customHeight="1" x14ac:dyDescent="0.25">
      <c r="A60" s="23">
        <v>59</v>
      </c>
      <c r="B60" s="30" t="s">
        <v>197</v>
      </c>
      <c r="C60" s="25" t="s">
        <v>197</v>
      </c>
      <c r="D60" s="30" t="s">
        <v>198</v>
      </c>
      <c r="E60" s="56" t="s">
        <v>82</v>
      </c>
      <c r="F60" s="55"/>
      <c r="G60" s="27"/>
      <c r="H60" s="27"/>
      <c r="I60" s="27"/>
      <c r="J60" s="27"/>
      <c r="K60" s="27"/>
      <c r="L60" s="27"/>
      <c r="M60" s="27"/>
      <c r="N60" s="27"/>
      <c r="O60" s="27"/>
      <c r="P60" s="27"/>
      <c r="Q60" s="27"/>
      <c r="R60" s="27"/>
      <c r="S60" s="27"/>
      <c r="T60" s="25"/>
      <c r="U60" s="25"/>
      <c r="V60" s="25"/>
      <c r="W60" s="27"/>
      <c r="X60" s="27"/>
      <c r="Y60" s="27"/>
      <c r="Z60" s="27"/>
      <c r="AA60" s="27"/>
      <c r="AB60" s="27"/>
      <c r="AC60" s="25">
        <v>10</v>
      </c>
      <c r="AO60" s="25"/>
      <c r="AQ60" s="25"/>
      <c r="AR60" s="27"/>
      <c r="AS60" s="27"/>
      <c r="AT60" s="27"/>
      <c r="BA60" s="25"/>
      <c r="BB60" s="25"/>
      <c r="BC60" s="25"/>
      <c r="BD60" s="25"/>
      <c r="BE60" s="25"/>
      <c r="BF60" s="25"/>
      <c r="BG60" s="25"/>
      <c r="BH60" s="25"/>
      <c r="BI60" s="25"/>
      <c r="BJ60" s="25"/>
      <c r="BK60" s="25"/>
      <c r="BL60" s="25"/>
      <c r="BM60" s="25"/>
      <c r="BN60" s="25"/>
      <c r="BO60" s="25"/>
      <c r="BP60" s="25"/>
      <c r="BQ60" s="25"/>
      <c r="BR60" s="25"/>
      <c r="BS60" s="25"/>
      <c r="BT60" s="25">
        <f t="shared" si="3"/>
        <v>10</v>
      </c>
      <c r="BU60" s="28">
        <f t="shared" si="0"/>
        <v>10</v>
      </c>
      <c r="BV60" s="25">
        <f t="shared" si="1"/>
        <v>5933.3333333333339</v>
      </c>
      <c r="BW60" s="25">
        <f t="shared" si="4"/>
        <v>59333.333333333343</v>
      </c>
      <c r="BX60" s="25">
        <v>59333.340000000004</v>
      </c>
      <c r="BY60" s="53">
        <v>7120</v>
      </c>
      <c r="BZ60" s="22">
        <f t="shared" si="2"/>
        <v>71200</v>
      </c>
    </row>
    <row r="61" spans="1:79" ht="29.25" customHeight="1" x14ac:dyDescent="0.25">
      <c r="A61" s="29">
        <v>60</v>
      </c>
      <c r="B61" s="24" t="s">
        <v>199</v>
      </c>
      <c r="C61" s="21" t="s">
        <v>199</v>
      </c>
      <c r="D61" s="24" t="s">
        <v>200</v>
      </c>
      <c r="E61" s="23" t="s">
        <v>82</v>
      </c>
      <c r="F61" s="22"/>
      <c r="G61" s="22"/>
      <c r="H61" s="22"/>
      <c r="I61" s="22"/>
      <c r="J61" s="22"/>
      <c r="K61" s="22"/>
      <c r="L61" s="22"/>
      <c r="M61" s="22"/>
      <c r="N61" s="22"/>
      <c r="O61" s="22"/>
      <c r="P61" s="22"/>
      <c r="Q61" s="22"/>
      <c r="R61" s="22"/>
      <c r="S61" s="22"/>
      <c r="T61" s="25"/>
      <c r="U61" s="25"/>
      <c r="V61" s="25"/>
      <c r="W61" s="22"/>
      <c r="X61" s="22"/>
      <c r="Y61" s="22"/>
      <c r="Z61" s="22"/>
      <c r="AA61" s="22"/>
      <c r="AB61" s="22"/>
      <c r="AC61" s="22"/>
      <c r="AD61" s="22"/>
      <c r="AG61" s="22"/>
      <c r="AJ61" s="22"/>
      <c r="AK61" s="22">
        <v>150</v>
      </c>
      <c r="AO61" s="25"/>
      <c r="AQ61" s="25"/>
      <c r="AR61" s="27"/>
      <c r="AS61" s="27"/>
      <c r="AT61" s="27"/>
      <c r="BA61" s="25"/>
      <c r="BB61" s="25"/>
      <c r="BC61" s="25"/>
      <c r="BD61" s="25"/>
      <c r="BE61" s="25"/>
      <c r="BF61" s="25"/>
      <c r="BG61" s="25"/>
      <c r="BH61" s="25"/>
      <c r="BI61" s="25"/>
      <c r="BJ61" s="25"/>
      <c r="BK61" s="25"/>
      <c r="BL61" s="25"/>
      <c r="BM61" s="25"/>
      <c r="BN61" s="25"/>
      <c r="BO61" s="25"/>
      <c r="BP61" s="25"/>
      <c r="BQ61" s="25"/>
      <c r="BR61" s="25"/>
      <c r="BS61" s="25"/>
      <c r="BT61" s="25">
        <f t="shared" si="3"/>
        <v>150</v>
      </c>
      <c r="BU61" s="28">
        <f t="shared" si="0"/>
        <v>150</v>
      </c>
      <c r="BV61" s="25">
        <f t="shared" si="1"/>
        <v>6834.375</v>
      </c>
      <c r="BW61" s="25">
        <f t="shared" si="4"/>
        <v>1025156.25</v>
      </c>
      <c r="BX61" s="25">
        <v>1025156.25</v>
      </c>
      <c r="BY61" s="22">
        <v>8201.25</v>
      </c>
      <c r="BZ61" s="22">
        <f t="shared" si="2"/>
        <v>1230187.5</v>
      </c>
    </row>
    <row r="62" spans="1:79" ht="29.25" customHeight="1" x14ac:dyDescent="0.25">
      <c r="A62" s="23">
        <v>61</v>
      </c>
      <c r="B62" s="30" t="s">
        <v>201</v>
      </c>
      <c r="C62" s="25" t="s">
        <v>201</v>
      </c>
      <c r="D62" s="30" t="s">
        <v>202</v>
      </c>
      <c r="E62" s="29" t="s">
        <v>82</v>
      </c>
      <c r="F62" s="25"/>
      <c r="G62" s="25"/>
      <c r="H62" s="25"/>
      <c r="I62" s="25"/>
      <c r="J62" s="25"/>
      <c r="K62" s="25"/>
      <c r="L62" s="25"/>
      <c r="M62" s="25"/>
      <c r="N62" s="25"/>
      <c r="O62" s="25"/>
      <c r="P62" s="25"/>
      <c r="Q62" s="25"/>
      <c r="R62" s="25"/>
      <c r="S62" s="25"/>
      <c r="T62" s="25"/>
      <c r="U62" s="25"/>
      <c r="V62" s="25"/>
      <c r="W62" s="25"/>
      <c r="X62" s="25"/>
      <c r="Y62" s="25"/>
      <c r="Z62" s="25"/>
      <c r="AA62" s="25"/>
      <c r="AB62" s="25"/>
      <c r="AF62" s="25"/>
      <c r="AG62" s="25"/>
      <c r="AJ62" s="25">
        <v>500</v>
      </c>
      <c r="AO62" s="25"/>
      <c r="AQ62" s="25"/>
      <c r="AR62" s="27"/>
      <c r="AS62" s="27"/>
      <c r="AT62" s="27"/>
      <c r="BA62" s="25"/>
      <c r="BB62" s="25"/>
      <c r="BC62" s="25"/>
      <c r="BD62" s="25"/>
      <c r="BE62" s="25"/>
      <c r="BF62" s="25"/>
      <c r="BG62" s="25"/>
      <c r="BH62" s="25"/>
      <c r="BI62" s="25"/>
      <c r="BJ62" s="25"/>
      <c r="BK62" s="25"/>
      <c r="BL62" s="25"/>
      <c r="BM62" s="25"/>
      <c r="BN62" s="25"/>
      <c r="BO62" s="25"/>
      <c r="BP62" s="25"/>
      <c r="BQ62" s="25"/>
      <c r="BR62" s="25"/>
      <c r="BS62" s="25"/>
      <c r="BT62" s="25">
        <f t="shared" si="3"/>
        <v>500</v>
      </c>
      <c r="BU62" s="28">
        <f t="shared" si="0"/>
        <v>500</v>
      </c>
      <c r="BV62" s="25">
        <f t="shared" si="1"/>
        <v>2.5</v>
      </c>
      <c r="BW62" s="25">
        <f t="shared" si="4"/>
        <v>1250</v>
      </c>
      <c r="BX62" s="25">
        <v>1250</v>
      </c>
      <c r="BY62" s="23">
        <v>3</v>
      </c>
      <c r="BZ62" s="22">
        <f t="shared" si="2"/>
        <v>1500</v>
      </c>
    </row>
    <row r="63" spans="1:79" ht="29.25" customHeight="1" x14ac:dyDescent="0.25">
      <c r="A63" s="29">
        <v>62</v>
      </c>
      <c r="B63" s="24" t="s">
        <v>203</v>
      </c>
      <c r="C63" s="21" t="s">
        <v>203</v>
      </c>
      <c r="D63" s="24" t="s">
        <v>204</v>
      </c>
      <c r="E63" s="23" t="s">
        <v>82</v>
      </c>
      <c r="F63" s="22"/>
      <c r="G63" s="22"/>
      <c r="H63" s="22"/>
      <c r="I63" s="22"/>
      <c r="J63" s="22"/>
      <c r="K63" s="22"/>
      <c r="L63" s="22"/>
      <c r="M63" s="22"/>
      <c r="N63" s="22"/>
      <c r="O63" s="22"/>
      <c r="P63" s="22"/>
      <c r="Q63" s="22"/>
      <c r="R63" s="22"/>
      <c r="S63" s="22"/>
      <c r="T63" s="25"/>
      <c r="U63" s="25"/>
      <c r="V63" s="25"/>
      <c r="W63" s="22"/>
      <c r="X63" s="22"/>
      <c r="Y63" s="22"/>
      <c r="Z63" s="22"/>
      <c r="AA63" s="22"/>
      <c r="AB63" s="22"/>
      <c r="AC63" s="22"/>
      <c r="AD63" s="22"/>
      <c r="AG63" s="22"/>
      <c r="AJ63" s="22"/>
      <c r="AK63" s="22">
        <v>25</v>
      </c>
      <c r="AO63" s="25"/>
      <c r="AQ63" s="25"/>
      <c r="AR63" s="27"/>
      <c r="AS63" s="27"/>
      <c r="AT63" s="27"/>
      <c r="BA63" s="25"/>
      <c r="BB63" s="25"/>
      <c r="BC63" s="25"/>
      <c r="BD63" s="25"/>
      <c r="BE63" s="25"/>
      <c r="BF63" s="25"/>
      <c r="BG63" s="25"/>
      <c r="BH63" s="25"/>
      <c r="BI63" s="25"/>
      <c r="BJ63" s="25"/>
      <c r="BK63" s="25"/>
      <c r="BL63" s="25"/>
      <c r="BM63" s="25"/>
      <c r="BN63" s="25"/>
      <c r="BO63" s="25"/>
      <c r="BP63" s="25"/>
      <c r="BQ63" s="25"/>
      <c r="BR63" s="25"/>
      <c r="BS63" s="25"/>
      <c r="BT63" s="25">
        <f t="shared" si="3"/>
        <v>25</v>
      </c>
      <c r="BU63" s="28">
        <f t="shared" si="0"/>
        <v>25</v>
      </c>
      <c r="BV63" s="25">
        <f t="shared" si="1"/>
        <v>2916.666666666667</v>
      </c>
      <c r="BW63" s="25">
        <f t="shared" si="4"/>
        <v>72916.666666666672</v>
      </c>
      <c r="BX63" s="25">
        <v>72916.67</v>
      </c>
      <c r="BY63" s="22">
        <v>3500</v>
      </c>
      <c r="BZ63" s="22">
        <f t="shared" si="2"/>
        <v>87500</v>
      </c>
    </row>
    <row r="64" spans="1:79" ht="29.25" customHeight="1" x14ac:dyDescent="0.25">
      <c r="A64" s="23">
        <v>63</v>
      </c>
      <c r="B64" s="24" t="s">
        <v>205</v>
      </c>
      <c r="C64" s="21" t="s">
        <v>205</v>
      </c>
      <c r="D64" s="24" t="s">
        <v>206</v>
      </c>
      <c r="E64" s="23" t="s">
        <v>82</v>
      </c>
      <c r="F64" s="22"/>
      <c r="G64" s="22"/>
      <c r="H64" s="22"/>
      <c r="I64" s="22"/>
      <c r="J64" s="22"/>
      <c r="K64" s="22"/>
      <c r="L64" s="22"/>
      <c r="M64" s="22"/>
      <c r="N64" s="22"/>
      <c r="O64" s="22"/>
      <c r="P64" s="22"/>
      <c r="Q64" s="22"/>
      <c r="R64" s="22"/>
      <c r="S64" s="22"/>
      <c r="T64" s="25"/>
      <c r="U64" s="25"/>
      <c r="V64" s="25"/>
      <c r="W64" s="22"/>
      <c r="X64" s="22"/>
      <c r="Y64" s="22"/>
      <c r="Z64" s="22"/>
      <c r="AA64" s="22"/>
      <c r="AB64" s="22"/>
      <c r="AC64" s="22"/>
      <c r="AD64" s="22"/>
      <c r="AG64" s="22"/>
      <c r="AJ64" s="22"/>
      <c r="AK64" s="22">
        <v>5</v>
      </c>
      <c r="AO64" s="25"/>
      <c r="AQ64" s="25"/>
      <c r="AR64" s="27"/>
      <c r="AS64" s="27"/>
      <c r="AT64" s="27"/>
      <c r="BA64" s="25"/>
      <c r="BB64" s="25"/>
      <c r="BC64" s="25"/>
      <c r="BD64" s="25"/>
      <c r="BE64" s="25"/>
      <c r="BF64" s="25"/>
      <c r="BG64" s="25"/>
      <c r="BH64" s="25"/>
      <c r="BI64" s="25"/>
      <c r="BJ64" s="25"/>
      <c r="BK64" s="25"/>
      <c r="BL64" s="25"/>
      <c r="BM64" s="25"/>
      <c r="BN64" s="25"/>
      <c r="BO64" s="25"/>
      <c r="BP64" s="25"/>
      <c r="BQ64" s="25"/>
      <c r="BR64" s="25"/>
      <c r="BS64" s="25"/>
      <c r="BT64" s="25">
        <f t="shared" si="3"/>
        <v>5</v>
      </c>
      <c r="BU64" s="28">
        <f t="shared" si="0"/>
        <v>5</v>
      </c>
      <c r="BV64" s="25">
        <f t="shared" si="1"/>
        <v>3800</v>
      </c>
      <c r="BW64" s="25">
        <f t="shared" si="4"/>
        <v>19000</v>
      </c>
      <c r="BX64" s="25">
        <v>19000</v>
      </c>
      <c r="BY64" s="22">
        <v>4560</v>
      </c>
      <c r="BZ64" s="22">
        <f t="shared" si="2"/>
        <v>22800</v>
      </c>
    </row>
    <row r="65" spans="1:80" ht="29.25" customHeight="1" x14ac:dyDescent="0.25">
      <c r="A65" s="29">
        <v>64</v>
      </c>
      <c r="B65" s="24" t="s">
        <v>207</v>
      </c>
      <c r="C65" s="21" t="s">
        <v>207</v>
      </c>
      <c r="D65" s="24" t="s">
        <v>208</v>
      </c>
      <c r="E65" s="23" t="s">
        <v>82</v>
      </c>
      <c r="F65" s="22"/>
      <c r="G65" s="22"/>
      <c r="H65" s="22"/>
      <c r="I65" s="22"/>
      <c r="J65" s="22"/>
      <c r="K65" s="22"/>
      <c r="L65" s="22"/>
      <c r="M65" s="22"/>
      <c r="N65" s="22"/>
      <c r="O65" s="22"/>
      <c r="P65" s="22"/>
      <c r="Q65" s="22"/>
      <c r="R65" s="22"/>
      <c r="S65" s="22"/>
      <c r="T65" s="25"/>
      <c r="U65" s="25"/>
      <c r="V65" s="25"/>
      <c r="W65" s="22"/>
      <c r="X65" s="22"/>
      <c r="Y65" s="22"/>
      <c r="Z65" s="22"/>
      <c r="AA65" s="22"/>
      <c r="AB65" s="22"/>
      <c r="AC65" s="22"/>
      <c r="AD65" s="22"/>
      <c r="AG65" s="22"/>
      <c r="AJ65" s="22"/>
      <c r="AK65" s="22">
        <v>50</v>
      </c>
      <c r="AO65" s="25"/>
      <c r="AQ65" s="25"/>
      <c r="AR65" s="27"/>
      <c r="AS65" s="27"/>
      <c r="AT65" s="27"/>
      <c r="BA65" s="25"/>
      <c r="BB65" s="25"/>
      <c r="BC65" s="25"/>
      <c r="BD65" s="25"/>
      <c r="BE65" s="25"/>
      <c r="BF65" s="25"/>
      <c r="BG65" s="25"/>
      <c r="BH65" s="25"/>
      <c r="BI65" s="25"/>
      <c r="BJ65" s="25"/>
      <c r="BK65" s="25"/>
      <c r="BL65" s="25"/>
      <c r="BM65" s="25"/>
      <c r="BN65" s="25"/>
      <c r="BO65" s="25"/>
      <c r="BP65" s="25"/>
      <c r="BQ65" s="25"/>
      <c r="BR65" s="25"/>
      <c r="BS65" s="25"/>
      <c r="BT65" s="25">
        <f t="shared" si="3"/>
        <v>50</v>
      </c>
      <c r="BU65" s="28">
        <f t="shared" si="0"/>
        <v>50</v>
      </c>
      <c r="BV65" s="25">
        <f t="shared" si="1"/>
        <v>2916.666666666667</v>
      </c>
      <c r="BW65" s="25">
        <f t="shared" si="4"/>
        <v>145833.33333333334</v>
      </c>
      <c r="BX65" s="25">
        <v>145833.34</v>
      </c>
      <c r="BY65" s="22">
        <v>3500</v>
      </c>
      <c r="BZ65" s="22">
        <f t="shared" si="2"/>
        <v>175000</v>
      </c>
    </row>
    <row r="66" spans="1:80" ht="29.25" customHeight="1" x14ac:dyDescent="0.25">
      <c r="A66" s="23">
        <v>65</v>
      </c>
      <c r="B66" s="24" t="s">
        <v>209</v>
      </c>
      <c r="C66" s="21" t="s">
        <v>209</v>
      </c>
      <c r="D66" s="24" t="s">
        <v>210</v>
      </c>
      <c r="E66" s="23" t="s">
        <v>79</v>
      </c>
      <c r="F66" s="22"/>
      <c r="G66" s="22"/>
      <c r="H66" s="22"/>
      <c r="I66" s="22"/>
      <c r="J66" s="22"/>
      <c r="K66" s="22"/>
      <c r="L66" s="22"/>
      <c r="M66" s="22"/>
      <c r="N66" s="22"/>
      <c r="O66" s="22"/>
      <c r="P66" s="22"/>
      <c r="Q66" s="22"/>
      <c r="R66" s="22"/>
      <c r="S66" s="22"/>
      <c r="T66" s="25"/>
      <c r="U66" s="25"/>
      <c r="V66" s="25"/>
      <c r="W66" s="22"/>
      <c r="X66" s="22"/>
      <c r="Y66" s="22"/>
      <c r="Z66" s="22"/>
      <c r="AA66" s="22"/>
      <c r="AB66" s="22"/>
      <c r="AC66" s="22"/>
      <c r="AD66" s="22"/>
      <c r="AG66" s="22"/>
      <c r="AJ66" s="22"/>
      <c r="AK66" s="22">
        <v>3</v>
      </c>
      <c r="AO66" s="25"/>
      <c r="AQ66" s="25"/>
      <c r="AR66" s="27"/>
      <c r="AS66" s="27"/>
      <c r="AT66" s="27"/>
      <c r="BA66" s="25"/>
      <c r="BB66" s="25"/>
      <c r="BC66" s="25"/>
      <c r="BD66" s="25"/>
      <c r="BE66" s="25"/>
      <c r="BF66" s="25"/>
      <c r="BG66" s="25"/>
      <c r="BH66" s="25"/>
      <c r="BI66" s="25"/>
      <c r="BJ66" s="25"/>
      <c r="BK66" s="25"/>
      <c r="BL66" s="25"/>
      <c r="BM66" s="25"/>
      <c r="BN66" s="25"/>
      <c r="BO66" s="25"/>
      <c r="BP66" s="25"/>
      <c r="BQ66" s="25"/>
      <c r="BR66" s="25"/>
      <c r="BS66" s="25"/>
      <c r="BT66" s="25">
        <f t="shared" si="3"/>
        <v>3</v>
      </c>
      <c r="BU66" s="28">
        <f t="shared" ref="BU66:BU125" si="5">SUM(G66:BL66)</f>
        <v>3</v>
      </c>
      <c r="BV66" s="25">
        <f t="shared" ref="BV66:BV116" si="6">BY66/1.2</f>
        <v>416.66666666666669</v>
      </c>
      <c r="BW66" s="25">
        <f t="shared" si="4"/>
        <v>1250</v>
      </c>
      <c r="BX66" s="25">
        <v>1250</v>
      </c>
      <c r="BY66" s="22">
        <v>500</v>
      </c>
      <c r="BZ66" s="22">
        <f t="shared" ref="BZ66:BZ116" si="7">BY66*BU66</f>
        <v>1500</v>
      </c>
    </row>
    <row r="67" spans="1:80" ht="29.25" customHeight="1" x14ac:dyDescent="0.25">
      <c r="A67" s="29">
        <v>66</v>
      </c>
      <c r="B67" s="24" t="s">
        <v>211</v>
      </c>
      <c r="C67" s="21" t="s">
        <v>211</v>
      </c>
      <c r="D67" s="24" t="s">
        <v>212</v>
      </c>
      <c r="E67" s="23" t="s">
        <v>79</v>
      </c>
      <c r="F67" s="22"/>
      <c r="G67" s="22"/>
      <c r="H67" s="22"/>
      <c r="I67" s="22"/>
      <c r="J67" s="22"/>
      <c r="K67" s="22"/>
      <c r="L67" s="22"/>
      <c r="M67" s="22"/>
      <c r="N67" s="22"/>
      <c r="O67" s="22"/>
      <c r="P67" s="22"/>
      <c r="Q67" s="22"/>
      <c r="R67" s="22"/>
      <c r="S67" s="22"/>
      <c r="T67" s="25"/>
      <c r="U67" s="25"/>
      <c r="V67" s="25"/>
      <c r="W67" s="22"/>
      <c r="X67" s="22"/>
      <c r="Y67" s="22"/>
      <c r="Z67" s="22"/>
      <c r="AA67" s="22"/>
      <c r="AB67" s="22"/>
      <c r="AC67" s="22"/>
      <c r="AD67" s="22"/>
      <c r="AG67" s="22"/>
      <c r="AJ67" s="22"/>
      <c r="AK67" s="22">
        <v>1</v>
      </c>
      <c r="AO67" s="25"/>
      <c r="AQ67" s="25"/>
      <c r="AR67" s="27"/>
      <c r="AS67" s="27"/>
      <c r="AT67" s="27"/>
      <c r="BA67" s="25"/>
      <c r="BB67" s="25"/>
      <c r="BC67" s="25"/>
      <c r="BD67" s="25"/>
      <c r="BE67" s="25"/>
      <c r="BF67" s="25"/>
      <c r="BG67" s="25"/>
      <c r="BH67" s="25"/>
      <c r="BI67" s="25"/>
      <c r="BJ67" s="25"/>
      <c r="BK67" s="25"/>
      <c r="BL67" s="25"/>
      <c r="BM67" s="25"/>
      <c r="BN67" s="25"/>
      <c r="BO67" s="25"/>
      <c r="BP67" s="25"/>
      <c r="BQ67" s="25"/>
      <c r="BR67" s="25"/>
      <c r="BS67" s="25"/>
      <c r="BT67" s="25">
        <f t="shared" ref="BT67:BT126" si="8">SUM(F67:BS67)</f>
        <v>1</v>
      </c>
      <c r="BU67" s="28">
        <f t="shared" si="5"/>
        <v>1</v>
      </c>
      <c r="BV67" s="25">
        <f t="shared" si="6"/>
        <v>416.66666666666669</v>
      </c>
      <c r="BW67" s="25">
        <f t="shared" ref="BW67:BW126" si="9">BT67*BV67</f>
        <v>416.66666666666669</v>
      </c>
      <c r="BX67" s="25">
        <v>416.67</v>
      </c>
      <c r="BY67" s="22">
        <v>500</v>
      </c>
      <c r="BZ67" s="22">
        <f t="shared" si="7"/>
        <v>500</v>
      </c>
    </row>
    <row r="68" spans="1:80" ht="29.25" customHeight="1" x14ac:dyDescent="0.25">
      <c r="A68" s="23">
        <v>67</v>
      </c>
      <c r="B68" s="24" t="s">
        <v>213</v>
      </c>
      <c r="C68" s="21" t="s">
        <v>213</v>
      </c>
      <c r="D68" s="24" t="s">
        <v>214</v>
      </c>
      <c r="E68" s="23" t="s">
        <v>82</v>
      </c>
      <c r="F68" s="22"/>
      <c r="G68" s="22"/>
      <c r="H68" s="22"/>
      <c r="I68" s="22"/>
      <c r="J68" s="22"/>
      <c r="K68" s="22"/>
      <c r="L68" s="22"/>
      <c r="M68" s="22"/>
      <c r="N68" s="22"/>
      <c r="O68" s="22"/>
      <c r="P68" s="22"/>
      <c r="Q68" s="22"/>
      <c r="R68" s="22"/>
      <c r="S68" s="22"/>
      <c r="T68" s="25"/>
      <c r="U68" s="25"/>
      <c r="V68" s="25"/>
      <c r="W68" s="22"/>
      <c r="X68" s="22"/>
      <c r="Y68" s="22"/>
      <c r="Z68" s="22"/>
      <c r="AA68" s="22"/>
      <c r="AB68" s="22"/>
      <c r="AC68" s="22"/>
      <c r="AD68" s="22"/>
      <c r="AG68" s="22"/>
      <c r="AJ68" s="22"/>
      <c r="AK68" s="22">
        <v>400</v>
      </c>
      <c r="AO68" s="25"/>
      <c r="AQ68" s="25"/>
      <c r="AR68" s="27"/>
      <c r="AS68" s="27"/>
      <c r="AT68" s="27"/>
      <c r="BA68" s="25"/>
      <c r="BB68" s="25"/>
      <c r="BC68" s="25"/>
      <c r="BD68" s="25"/>
      <c r="BE68" s="25"/>
      <c r="BF68" s="25"/>
      <c r="BG68" s="25"/>
      <c r="BH68" s="25"/>
      <c r="BI68" s="25"/>
      <c r="BJ68" s="25"/>
      <c r="BK68" s="25"/>
      <c r="BL68" s="25"/>
      <c r="BM68" s="25"/>
      <c r="BN68" s="25"/>
      <c r="BO68" s="25"/>
      <c r="BP68" s="25"/>
      <c r="BQ68" s="25"/>
      <c r="BR68" s="25"/>
      <c r="BS68" s="25"/>
      <c r="BT68" s="25">
        <f t="shared" si="8"/>
        <v>400</v>
      </c>
      <c r="BU68" s="28">
        <f t="shared" si="5"/>
        <v>400</v>
      </c>
      <c r="BV68" s="25">
        <f t="shared" si="6"/>
        <v>24.183333333333334</v>
      </c>
      <c r="BW68" s="25">
        <f t="shared" si="9"/>
        <v>9673.3333333333339</v>
      </c>
      <c r="BX68" s="25">
        <v>9673.34</v>
      </c>
      <c r="BY68" s="22">
        <v>29.02</v>
      </c>
      <c r="BZ68" s="22">
        <f t="shared" si="7"/>
        <v>11608</v>
      </c>
    </row>
    <row r="69" spans="1:80" ht="29.25" customHeight="1" x14ac:dyDescent="0.25">
      <c r="A69" s="29">
        <v>68</v>
      </c>
      <c r="B69" s="24" t="s">
        <v>215</v>
      </c>
      <c r="C69" s="21" t="s">
        <v>215</v>
      </c>
      <c r="D69" s="24" t="s">
        <v>216</v>
      </c>
      <c r="E69" s="23" t="s">
        <v>82</v>
      </c>
      <c r="F69" s="22"/>
      <c r="G69" s="22"/>
      <c r="H69" s="22"/>
      <c r="I69" s="22"/>
      <c r="J69" s="22"/>
      <c r="K69" s="22"/>
      <c r="L69" s="22"/>
      <c r="M69" s="22"/>
      <c r="N69" s="22"/>
      <c r="O69" s="22"/>
      <c r="P69" s="22"/>
      <c r="Q69" s="22"/>
      <c r="R69" s="22"/>
      <c r="S69" s="22"/>
      <c r="T69" s="25"/>
      <c r="U69" s="25"/>
      <c r="V69" s="25"/>
      <c r="W69" s="22"/>
      <c r="X69" s="22"/>
      <c r="Y69" s="22"/>
      <c r="Z69" s="22"/>
      <c r="AA69" s="22"/>
      <c r="AB69" s="22"/>
      <c r="AC69" s="22"/>
      <c r="AD69" s="22"/>
      <c r="AG69" s="22"/>
      <c r="AJ69" s="22"/>
      <c r="AK69" s="22">
        <v>400</v>
      </c>
      <c r="AO69" s="25"/>
      <c r="AQ69" s="25"/>
      <c r="AR69" s="27"/>
      <c r="AS69" s="27"/>
      <c r="AT69" s="27"/>
      <c r="BA69" s="25"/>
      <c r="BB69" s="25"/>
      <c r="BC69" s="25"/>
      <c r="BD69" s="25"/>
      <c r="BE69" s="25"/>
      <c r="BF69" s="25"/>
      <c r="BG69" s="25"/>
      <c r="BH69" s="25"/>
      <c r="BI69" s="25"/>
      <c r="BJ69" s="25"/>
      <c r="BK69" s="25"/>
      <c r="BL69" s="25"/>
      <c r="BM69" s="25"/>
      <c r="BN69" s="25"/>
      <c r="BO69" s="25"/>
      <c r="BP69" s="25"/>
      <c r="BQ69" s="25"/>
      <c r="BR69" s="25"/>
      <c r="BS69" s="25"/>
      <c r="BT69" s="25">
        <f t="shared" si="8"/>
        <v>400</v>
      </c>
      <c r="BU69" s="28">
        <f t="shared" si="5"/>
        <v>400</v>
      </c>
      <c r="BV69" s="25">
        <f t="shared" si="6"/>
        <v>24.183333333333334</v>
      </c>
      <c r="BW69" s="25">
        <f t="shared" si="9"/>
        <v>9673.3333333333339</v>
      </c>
      <c r="BX69" s="25">
        <v>9673.34</v>
      </c>
      <c r="BY69" s="22">
        <v>29.02</v>
      </c>
      <c r="BZ69" s="22">
        <f t="shared" si="7"/>
        <v>11608</v>
      </c>
    </row>
    <row r="70" spans="1:80" ht="29.25" customHeight="1" x14ac:dyDescent="0.25">
      <c r="A70" s="23">
        <v>69</v>
      </c>
      <c r="B70" s="24" t="s">
        <v>217</v>
      </c>
      <c r="C70" s="21" t="s">
        <v>217</v>
      </c>
      <c r="D70" s="24" t="s">
        <v>218</v>
      </c>
      <c r="E70" s="23" t="s">
        <v>82</v>
      </c>
      <c r="F70" s="22"/>
      <c r="G70" s="22"/>
      <c r="H70" s="22"/>
      <c r="I70" s="22"/>
      <c r="J70" s="22"/>
      <c r="K70" s="22"/>
      <c r="L70" s="22"/>
      <c r="M70" s="22"/>
      <c r="N70" s="22"/>
      <c r="O70" s="22"/>
      <c r="P70" s="22"/>
      <c r="Q70" s="22"/>
      <c r="R70" s="22"/>
      <c r="S70" s="22"/>
      <c r="T70" s="25"/>
      <c r="U70" s="25"/>
      <c r="V70" s="25"/>
      <c r="W70" s="22"/>
      <c r="X70" s="22"/>
      <c r="Y70" s="22"/>
      <c r="Z70" s="22"/>
      <c r="AA70" s="22"/>
      <c r="AB70" s="22"/>
      <c r="AC70" s="22"/>
      <c r="AD70" s="22"/>
      <c r="AG70" s="22"/>
      <c r="AJ70" s="22"/>
      <c r="AK70" s="22">
        <v>600</v>
      </c>
      <c r="AO70" s="25"/>
      <c r="AQ70" s="25"/>
      <c r="AR70" s="27"/>
      <c r="AS70" s="27"/>
      <c r="AT70" s="27"/>
      <c r="BA70" s="25"/>
      <c r="BB70" s="25"/>
      <c r="BC70" s="25"/>
      <c r="BD70" s="25"/>
      <c r="BE70" s="25"/>
      <c r="BF70" s="25"/>
      <c r="BG70" s="25"/>
      <c r="BH70" s="25"/>
      <c r="BI70" s="25"/>
      <c r="BJ70" s="25"/>
      <c r="BK70" s="25"/>
      <c r="BL70" s="25"/>
      <c r="BM70" s="25"/>
      <c r="BN70" s="25"/>
      <c r="BO70" s="25"/>
      <c r="BP70" s="25"/>
      <c r="BQ70" s="25"/>
      <c r="BR70" s="25"/>
      <c r="BS70" s="25"/>
      <c r="BT70" s="25">
        <f t="shared" si="8"/>
        <v>600</v>
      </c>
      <c r="BU70" s="28">
        <f t="shared" si="5"/>
        <v>600</v>
      </c>
      <c r="BV70" s="25">
        <f t="shared" si="6"/>
        <v>2.5</v>
      </c>
      <c r="BW70" s="25">
        <f t="shared" si="9"/>
        <v>1500</v>
      </c>
      <c r="BX70" s="25">
        <v>1500</v>
      </c>
      <c r="BY70" s="22">
        <v>3</v>
      </c>
      <c r="BZ70" s="22">
        <f t="shared" si="7"/>
        <v>1800</v>
      </c>
    </row>
    <row r="71" spans="1:80" ht="29.25" customHeight="1" x14ac:dyDescent="0.25">
      <c r="A71" s="29">
        <v>70</v>
      </c>
      <c r="B71" s="24" t="s">
        <v>219</v>
      </c>
      <c r="C71" s="21" t="s">
        <v>219</v>
      </c>
      <c r="D71" s="24" t="s">
        <v>220</v>
      </c>
      <c r="E71" s="23" t="s">
        <v>82</v>
      </c>
      <c r="F71" s="22"/>
      <c r="G71" s="22"/>
      <c r="H71" s="22"/>
      <c r="I71" s="22"/>
      <c r="J71" s="22"/>
      <c r="K71" s="22"/>
      <c r="L71" s="22"/>
      <c r="M71" s="22"/>
      <c r="N71" s="22"/>
      <c r="O71" s="22"/>
      <c r="P71" s="22"/>
      <c r="Q71" s="22"/>
      <c r="R71" s="22"/>
      <c r="S71" s="22"/>
      <c r="T71" s="25"/>
      <c r="U71" s="25"/>
      <c r="V71" s="25"/>
      <c r="W71" s="22"/>
      <c r="X71" s="22"/>
      <c r="Y71" s="22"/>
      <c r="Z71" s="22"/>
      <c r="AA71" s="22"/>
      <c r="AB71" s="22"/>
      <c r="AC71" s="22"/>
      <c r="AD71" s="22"/>
      <c r="AG71" s="22"/>
      <c r="AJ71" s="22"/>
      <c r="AK71" s="22">
        <v>100</v>
      </c>
      <c r="AO71" s="25"/>
      <c r="AQ71" s="25"/>
      <c r="AR71" s="27"/>
      <c r="AS71" s="27"/>
      <c r="AT71" s="27"/>
      <c r="BA71" s="25"/>
      <c r="BB71" s="25"/>
      <c r="BC71" s="25"/>
      <c r="BD71" s="25"/>
      <c r="BE71" s="25"/>
      <c r="BF71" s="25"/>
      <c r="BG71" s="25"/>
      <c r="BH71" s="25"/>
      <c r="BI71" s="25"/>
      <c r="BJ71" s="25"/>
      <c r="BK71" s="25"/>
      <c r="BL71" s="25"/>
      <c r="BM71" s="25"/>
      <c r="BN71" s="25"/>
      <c r="BO71" s="25"/>
      <c r="BP71" s="25"/>
      <c r="BQ71" s="25"/>
      <c r="BR71" s="25"/>
      <c r="BS71" s="25"/>
      <c r="BT71" s="25">
        <f t="shared" si="8"/>
        <v>100</v>
      </c>
      <c r="BU71" s="28">
        <f t="shared" si="5"/>
        <v>100</v>
      </c>
      <c r="BV71" s="25">
        <f t="shared" si="6"/>
        <v>16.666666666666668</v>
      </c>
      <c r="BW71" s="25">
        <f t="shared" si="9"/>
        <v>1666.6666666666667</v>
      </c>
      <c r="BX71" s="25">
        <v>1666.67</v>
      </c>
      <c r="BY71" s="22">
        <v>20</v>
      </c>
      <c r="BZ71" s="22">
        <f t="shared" si="7"/>
        <v>2000</v>
      </c>
    </row>
    <row r="72" spans="1:80" ht="29.25" customHeight="1" x14ac:dyDescent="0.25">
      <c r="A72" s="23">
        <v>71</v>
      </c>
      <c r="B72" s="30" t="s">
        <v>221</v>
      </c>
      <c r="C72" s="25" t="s">
        <v>221</v>
      </c>
      <c r="D72" s="30" t="s">
        <v>222</v>
      </c>
      <c r="E72" s="29" t="s">
        <v>82</v>
      </c>
      <c r="F72" s="25"/>
      <c r="G72" s="25"/>
      <c r="H72" s="25"/>
      <c r="I72" s="25"/>
      <c r="J72" s="25"/>
      <c r="K72" s="25"/>
      <c r="L72" s="25"/>
      <c r="M72" s="25"/>
      <c r="N72" s="25"/>
      <c r="O72" s="25"/>
      <c r="P72" s="25"/>
      <c r="Q72" s="25"/>
      <c r="R72" s="25"/>
      <c r="S72" s="25"/>
      <c r="T72" s="25"/>
      <c r="U72" s="25"/>
      <c r="V72" s="25"/>
      <c r="W72" s="25"/>
      <c r="X72" s="25"/>
      <c r="Y72" s="25"/>
      <c r="Z72" s="25"/>
      <c r="AA72" s="25"/>
      <c r="AB72" s="25"/>
      <c r="AF72" s="25"/>
      <c r="AG72" s="25"/>
      <c r="AK72" s="25"/>
      <c r="AO72" s="25"/>
      <c r="AQ72" s="25"/>
      <c r="AR72" s="25"/>
      <c r="AS72" s="25"/>
      <c r="AT72" s="25"/>
      <c r="AV72" s="25"/>
      <c r="AW72" s="25">
        <v>100</v>
      </c>
      <c r="AY72" s="21"/>
      <c r="BA72" s="25"/>
      <c r="BB72" s="25"/>
      <c r="BC72" s="25"/>
      <c r="BD72" s="25"/>
      <c r="BE72" s="25"/>
      <c r="BF72" s="25"/>
      <c r="BG72" s="25"/>
      <c r="BH72" s="25"/>
      <c r="BI72" s="25"/>
      <c r="BJ72" s="25"/>
      <c r="BK72" s="25"/>
      <c r="BL72" s="25"/>
      <c r="BM72" s="25"/>
      <c r="BN72" s="25"/>
      <c r="BO72" s="25"/>
      <c r="BP72" s="25"/>
      <c r="BQ72" s="25"/>
      <c r="BR72" s="25"/>
      <c r="BS72" s="25"/>
      <c r="BT72" s="25">
        <f t="shared" si="8"/>
        <v>100</v>
      </c>
      <c r="BU72" s="28">
        <f t="shared" si="5"/>
        <v>100</v>
      </c>
      <c r="BV72" s="25">
        <f t="shared" si="6"/>
        <v>25</v>
      </c>
      <c r="BW72" s="25">
        <f t="shared" si="9"/>
        <v>2500</v>
      </c>
      <c r="BX72" s="25">
        <v>2500</v>
      </c>
      <c r="BY72" s="25">
        <v>30</v>
      </c>
      <c r="BZ72" s="22">
        <f t="shared" si="7"/>
        <v>3000</v>
      </c>
    </row>
    <row r="73" spans="1:80" ht="29.25" customHeight="1" x14ac:dyDescent="0.25">
      <c r="A73" s="29">
        <v>72</v>
      </c>
      <c r="B73" s="30" t="s">
        <v>223</v>
      </c>
      <c r="C73" s="25" t="s">
        <v>223</v>
      </c>
      <c r="D73" s="30" t="s">
        <v>224</v>
      </c>
      <c r="E73" s="56" t="s">
        <v>82</v>
      </c>
      <c r="F73" s="55"/>
      <c r="G73" s="27"/>
      <c r="H73" s="27"/>
      <c r="I73" s="27"/>
      <c r="J73" s="27"/>
      <c r="K73" s="27"/>
      <c r="L73" s="27"/>
      <c r="M73" s="27"/>
      <c r="N73" s="27"/>
      <c r="O73" s="27"/>
      <c r="P73" s="27"/>
      <c r="Q73" s="27"/>
      <c r="R73" s="27"/>
      <c r="S73" s="27"/>
      <c r="T73" s="25"/>
      <c r="U73" s="25"/>
      <c r="V73" s="25"/>
      <c r="W73" s="27"/>
      <c r="X73" s="27"/>
      <c r="Y73" s="27"/>
      <c r="Z73" s="27"/>
      <c r="AA73" s="27"/>
      <c r="AB73" s="27"/>
      <c r="AC73" s="25">
        <v>500</v>
      </c>
      <c r="AO73" s="25"/>
      <c r="AQ73" s="25"/>
      <c r="AR73" s="27"/>
      <c r="AS73" s="27"/>
      <c r="AT73" s="27"/>
      <c r="BA73" s="25"/>
      <c r="BB73" s="25"/>
      <c r="BC73" s="25"/>
      <c r="BD73" s="25"/>
      <c r="BE73" s="25"/>
      <c r="BF73" s="25"/>
      <c r="BG73" s="25"/>
      <c r="BH73" s="25"/>
      <c r="BI73" s="25"/>
      <c r="BJ73" s="25"/>
      <c r="BK73" s="25"/>
      <c r="BL73" s="25"/>
      <c r="BM73" s="25"/>
      <c r="BN73" s="25"/>
      <c r="BO73" s="25"/>
      <c r="BP73" s="25"/>
      <c r="BQ73" s="25"/>
      <c r="BR73" s="25"/>
      <c r="BS73" s="25"/>
      <c r="BT73" s="25">
        <f t="shared" si="8"/>
        <v>500</v>
      </c>
      <c r="BU73" s="28">
        <f t="shared" si="5"/>
        <v>500</v>
      </c>
      <c r="BV73" s="25">
        <f t="shared" si="6"/>
        <v>10</v>
      </c>
      <c r="BW73" s="25">
        <f t="shared" si="9"/>
        <v>5000</v>
      </c>
      <c r="BX73" s="25">
        <v>5000</v>
      </c>
      <c r="BY73" s="57">
        <v>12</v>
      </c>
      <c r="BZ73" s="22">
        <f t="shared" si="7"/>
        <v>6000</v>
      </c>
    </row>
    <row r="74" spans="1:80" ht="29.25" customHeight="1" x14ac:dyDescent="0.25">
      <c r="A74" s="23">
        <v>73</v>
      </c>
      <c r="B74" s="30" t="s">
        <v>225</v>
      </c>
      <c r="C74" s="25" t="s">
        <v>225</v>
      </c>
      <c r="D74" s="30" t="s">
        <v>226</v>
      </c>
      <c r="E74" s="56" t="s">
        <v>82</v>
      </c>
      <c r="F74" s="55"/>
      <c r="G74" s="27"/>
      <c r="H74" s="27"/>
      <c r="I74" s="27"/>
      <c r="J74" s="27"/>
      <c r="K74" s="27"/>
      <c r="L74" s="27"/>
      <c r="M74" s="27"/>
      <c r="N74" s="27"/>
      <c r="O74" s="27"/>
      <c r="P74" s="27"/>
      <c r="Q74" s="27"/>
      <c r="R74" s="27"/>
      <c r="S74" s="27"/>
      <c r="T74" s="25"/>
      <c r="U74" s="25"/>
      <c r="V74" s="25"/>
      <c r="W74" s="27"/>
      <c r="X74" s="27"/>
      <c r="Y74" s="27"/>
      <c r="Z74" s="27"/>
      <c r="AA74" s="27"/>
      <c r="AB74" s="27"/>
      <c r="AC74" s="25">
        <v>3700</v>
      </c>
      <c r="AO74" s="25"/>
      <c r="AQ74" s="25"/>
      <c r="AR74" s="27"/>
      <c r="AS74" s="27"/>
      <c r="AT74" s="27"/>
      <c r="BA74" s="25"/>
      <c r="BB74" s="25"/>
      <c r="BC74" s="25"/>
      <c r="BD74" s="25"/>
      <c r="BE74" s="25"/>
      <c r="BF74" s="25"/>
      <c r="BG74" s="25"/>
      <c r="BH74" s="25"/>
      <c r="BI74" s="25"/>
      <c r="BJ74" s="25"/>
      <c r="BK74" s="25"/>
      <c r="BL74" s="25"/>
      <c r="BM74" s="25"/>
      <c r="BN74" s="25"/>
      <c r="BO74" s="25"/>
      <c r="BP74" s="25"/>
      <c r="BQ74" s="25"/>
      <c r="BR74" s="25"/>
      <c r="BS74" s="25"/>
      <c r="BT74" s="25">
        <f t="shared" si="8"/>
        <v>3700</v>
      </c>
      <c r="BU74" s="28">
        <f t="shared" si="5"/>
        <v>3700</v>
      </c>
      <c r="BV74" s="25">
        <f t="shared" si="6"/>
        <v>3</v>
      </c>
      <c r="BW74" s="25">
        <f t="shared" si="9"/>
        <v>11100</v>
      </c>
      <c r="BX74" s="25">
        <v>11100</v>
      </c>
      <c r="BY74" s="57">
        <v>3.6</v>
      </c>
      <c r="BZ74" s="22">
        <f t="shared" si="7"/>
        <v>13320</v>
      </c>
    </row>
    <row r="75" spans="1:80" ht="29.25" customHeight="1" x14ac:dyDescent="0.25">
      <c r="A75" s="29">
        <v>74</v>
      </c>
      <c r="B75" s="30" t="s">
        <v>227</v>
      </c>
      <c r="C75" s="25" t="s">
        <v>227</v>
      </c>
      <c r="D75" s="30" t="s">
        <v>228</v>
      </c>
      <c r="E75" s="56" t="s">
        <v>82</v>
      </c>
      <c r="F75" s="55"/>
      <c r="G75" s="27"/>
      <c r="H75" s="27"/>
      <c r="I75" s="27"/>
      <c r="J75" s="27"/>
      <c r="K75" s="27"/>
      <c r="L75" s="27"/>
      <c r="M75" s="27"/>
      <c r="N75" s="27"/>
      <c r="O75" s="27"/>
      <c r="P75" s="27"/>
      <c r="Q75" s="27"/>
      <c r="R75" s="27"/>
      <c r="S75" s="27"/>
      <c r="T75" s="25"/>
      <c r="U75" s="25"/>
      <c r="V75" s="25"/>
      <c r="W75" s="27"/>
      <c r="X75" s="27"/>
      <c r="Y75" s="27"/>
      <c r="Z75" s="27"/>
      <c r="AA75" s="27"/>
      <c r="AB75" s="27"/>
      <c r="AC75" s="25">
        <v>6000</v>
      </c>
      <c r="AM75" s="25">
        <v>14000</v>
      </c>
      <c r="AO75" s="25"/>
      <c r="AQ75" s="25"/>
      <c r="AR75" s="27"/>
      <c r="AS75" s="27"/>
      <c r="AT75" s="27"/>
      <c r="BA75" s="25"/>
      <c r="BB75" s="25"/>
      <c r="BC75" s="25"/>
      <c r="BD75" s="25"/>
      <c r="BE75" s="25"/>
      <c r="BF75" s="25"/>
      <c r="BG75" s="25"/>
      <c r="BH75" s="25"/>
      <c r="BI75" s="25"/>
      <c r="BJ75" s="25"/>
      <c r="BK75" s="25"/>
      <c r="BL75" s="25"/>
      <c r="BM75" s="25"/>
      <c r="BN75" s="25"/>
      <c r="BO75" s="25"/>
      <c r="BP75" s="25"/>
      <c r="BQ75" s="25"/>
      <c r="BR75" s="25"/>
      <c r="BS75" s="25"/>
      <c r="BT75" s="25">
        <f t="shared" si="8"/>
        <v>20000</v>
      </c>
      <c r="BU75" s="28">
        <f t="shared" si="5"/>
        <v>20000</v>
      </c>
      <c r="BV75" s="25">
        <f t="shared" si="6"/>
        <v>1.7083333333333333</v>
      </c>
      <c r="BW75" s="25">
        <f t="shared" si="9"/>
        <v>34166.666666666664</v>
      </c>
      <c r="BX75" s="25">
        <v>34166.670000000006</v>
      </c>
      <c r="BY75" s="66">
        <v>2.0499999999999998</v>
      </c>
      <c r="BZ75" s="22">
        <f t="shared" si="7"/>
        <v>41000</v>
      </c>
      <c r="CA75" s="20" t="s">
        <v>229</v>
      </c>
    </row>
    <row r="76" spans="1:80" ht="29.25" customHeight="1" x14ac:dyDescent="0.25">
      <c r="A76" s="23">
        <v>75</v>
      </c>
      <c r="B76" s="24" t="s">
        <v>230</v>
      </c>
      <c r="C76" s="21" t="s">
        <v>230</v>
      </c>
      <c r="D76" s="24" t="s">
        <v>231</v>
      </c>
      <c r="E76" s="23" t="s">
        <v>82</v>
      </c>
      <c r="F76" s="22"/>
      <c r="G76" s="22"/>
      <c r="H76" s="22"/>
      <c r="I76" s="22"/>
      <c r="J76" s="22"/>
      <c r="K76" s="22"/>
      <c r="L76" s="22"/>
      <c r="M76" s="22"/>
      <c r="N76" s="22"/>
      <c r="O76" s="22"/>
      <c r="P76" s="22"/>
      <c r="Q76" s="22"/>
      <c r="R76" s="22"/>
      <c r="S76" s="22"/>
      <c r="T76" s="25"/>
      <c r="U76" s="25"/>
      <c r="V76" s="25"/>
      <c r="W76" s="22"/>
      <c r="X76" s="22"/>
      <c r="Y76" s="22"/>
      <c r="Z76" s="22"/>
      <c r="AA76" s="22"/>
      <c r="AB76" s="22"/>
      <c r="AC76" s="22"/>
      <c r="AD76" s="22"/>
      <c r="AG76" s="22"/>
      <c r="AJ76" s="22"/>
      <c r="AK76" s="22">
        <v>4</v>
      </c>
      <c r="AO76" s="25"/>
      <c r="AQ76" s="25"/>
      <c r="AR76" s="27"/>
      <c r="AS76" s="27"/>
      <c r="AT76" s="27"/>
      <c r="BA76" s="25"/>
      <c r="BB76" s="25"/>
      <c r="BC76" s="25"/>
      <c r="BD76" s="25"/>
      <c r="BE76" s="25"/>
      <c r="BF76" s="25"/>
      <c r="BG76" s="25"/>
      <c r="BH76" s="25"/>
      <c r="BI76" s="25"/>
      <c r="BJ76" s="25"/>
      <c r="BK76" s="25"/>
      <c r="BL76" s="25"/>
      <c r="BM76" s="25"/>
      <c r="BN76" s="25"/>
      <c r="BO76" s="25"/>
      <c r="BP76" s="25"/>
      <c r="BQ76" s="25"/>
      <c r="BR76" s="25"/>
      <c r="BS76" s="25"/>
      <c r="BT76" s="25">
        <f t="shared" si="8"/>
        <v>4</v>
      </c>
      <c r="BU76" s="28">
        <f t="shared" si="5"/>
        <v>4</v>
      </c>
      <c r="BV76" s="25">
        <f t="shared" si="6"/>
        <v>1250</v>
      </c>
      <c r="BW76" s="25">
        <f t="shared" si="9"/>
        <v>5000</v>
      </c>
      <c r="BX76" s="25">
        <v>5000</v>
      </c>
      <c r="BY76" s="22">
        <v>1500</v>
      </c>
      <c r="BZ76" s="22">
        <f t="shared" si="7"/>
        <v>6000</v>
      </c>
    </row>
    <row r="77" spans="1:80" ht="29.25" customHeight="1" x14ac:dyDescent="0.25">
      <c r="A77" s="29">
        <v>76</v>
      </c>
      <c r="B77" s="30" t="s">
        <v>232</v>
      </c>
      <c r="C77" s="25" t="s">
        <v>232</v>
      </c>
      <c r="D77" s="30" t="s">
        <v>233</v>
      </c>
      <c r="E77" s="56" t="s">
        <v>82</v>
      </c>
      <c r="F77" s="55"/>
      <c r="G77" s="27"/>
      <c r="H77" s="27"/>
      <c r="I77" s="27"/>
      <c r="J77" s="27"/>
      <c r="K77" s="27"/>
      <c r="L77" s="27"/>
      <c r="M77" s="27"/>
      <c r="N77" s="27"/>
      <c r="O77" s="27"/>
      <c r="P77" s="27"/>
      <c r="Q77" s="27"/>
      <c r="R77" s="27"/>
      <c r="S77" s="27"/>
      <c r="T77" s="25"/>
      <c r="U77" s="25"/>
      <c r="V77" s="25"/>
      <c r="W77" s="27"/>
      <c r="X77" s="27"/>
      <c r="Y77" s="27"/>
      <c r="Z77" s="27"/>
      <c r="AA77" s="27"/>
      <c r="AB77" s="27"/>
      <c r="AC77" s="25">
        <v>3700</v>
      </c>
      <c r="AO77" s="25"/>
      <c r="AQ77" s="25"/>
      <c r="AR77" s="27"/>
      <c r="AS77" s="27"/>
      <c r="AT77" s="27"/>
      <c r="BA77" s="25"/>
      <c r="BB77" s="25"/>
      <c r="BC77" s="25"/>
      <c r="BD77" s="25"/>
      <c r="BE77" s="25"/>
      <c r="BF77" s="25"/>
      <c r="BG77" s="25"/>
      <c r="BH77" s="25"/>
      <c r="BI77" s="25"/>
      <c r="BJ77" s="25"/>
      <c r="BK77" s="25"/>
      <c r="BL77" s="25"/>
      <c r="BM77" s="25"/>
      <c r="BN77" s="25"/>
      <c r="BO77" s="25"/>
      <c r="BP77" s="25"/>
      <c r="BQ77" s="25"/>
      <c r="BR77" s="25"/>
      <c r="BS77" s="25"/>
      <c r="BT77" s="25">
        <f t="shared" si="8"/>
        <v>3700</v>
      </c>
      <c r="BU77" s="28">
        <f t="shared" si="5"/>
        <v>3700</v>
      </c>
      <c r="BV77" s="25">
        <f t="shared" si="6"/>
        <v>10</v>
      </c>
      <c r="BW77" s="25">
        <f t="shared" si="9"/>
        <v>37000</v>
      </c>
      <c r="BX77" s="25">
        <v>37000</v>
      </c>
      <c r="BY77" s="57">
        <v>12</v>
      </c>
      <c r="BZ77" s="22">
        <f t="shared" si="7"/>
        <v>44400</v>
      </c>
      <c r="CB77" s="20" t="e">
        <f>CA77+#REF!</f>
        <v>#REF!</v>
      </c>
    </row>
    <row r="78" spans="1:80" ht="29.25" customHeight="1" x14ac:dyDescent="0.25">
      <c r="A78" s="23">
        <v>77</v>
      </c>
      <c r="B78" s="24" t="s">
        <v>234</v>
      </c>
      <c r="C78" s="21" t="s">
        <v>234</v>
      </c>
      <c r="D78" s="24" t="s">
        <v>235</v>
      </c>
      <c r="E78" s="23" t="s">
        <v>82</v>
      </c>
      <c r="F78" s="22"/>
      <c r="G78" s="22"/>
      <c r="H78" s="22"/>
      <c r="I78" s="22"/>
      <c r="J78" s="22"/>
      <c r="K78" s="22"/>
      <c r="L78" s="22"/>
      <c r="M78" s="22"/>
      <c r="N78" s="22"/>
      <c r="O78" s="22"/>
      <c r="P78" s="22"/>
      <c r="Q78" s="22"/>
      <c r="R78" s="22"/>
      <c r="S78" s="22"/>
      <c r="T78" s="25"/>
      <c r="U78" s="25"/>
      <c r="V78" s="25"/>
      <c r="W78" s="22"/>
      <c r="X78" s="22"/>
      <c r="Y78" s="22"/>
      <c r="Z78" s="22"/>
      <c r="AA78" s="22"/>
      <c r="AB78" s="22"/>
      <c r="AC78" s="22"/>
      <c r="AD78" s="22"/>
      <c r="AG78" s="22"/>
      <c r="AJ78" s="22"/>
      <c r="AK78" s="22">
        <v>200</v>
      </c>
      <c r="AO78" s="25"/>
      <c r="AQ78" s="25"/>
      <c r="AR78" s="27"/>
      <c r="AS78" s="27"/>
      <c r="AT78" s="27"/>
      <c r="BA78" s="25"/>
      <c r="BB78" s="25"/>
      <c r="BC78" s="25"/>
      <c r="BD78" s="25"/>
      <c r="BE78" s="25"/>
      <c r="BF78" s="25"/>
      <c r="BG78" s="25"/>
      <c r="BH78" s="25"/>
      <c r="BI78" s="25"/>
      <c r="BJ78" s="25"/>
      <c r="BK78" s="25"/>
      <c r="BL78" s="25"/>
      <c r="BM78" s="25"/>
      <c r="BN78" s="25"/>
      <c r="BO78" s="25"/>
      <c r="BP78" s="25"/>
      <c r="BQ78" s="25"/>
      <c r="BR78" s="25"/>
      <c r="BS78" s="25"/>
      <c r="BT78" s="25">
        <f t="shared" si="8"/>
        <v>200</v>
      </c>
      <c r="BU78" s="28">
        <f t="shared" si="5"/>
        <v>200</v>
      </c>
      <c r="BV78" s="25">
        <f t="shared" si="6"/>
        <v>250</v>
      </c>
      <c r="BW78" s="25">
        <f t="shared" si="9"/>
        <v>50000</v>
      </c>
      <c r="BX78" s="25">
        <v>50000</v>
      </c>
      <c r="BY78" s="22">
        <v>300</v>
      </c>
      <c r="BZ78" s="22">
        <f t="shared" si="7"/>
        <v>60000</v>
      </c>
    </row>
    <row r="79" spans="1:80" ht="29.25" customHeight="1" x14ac:dyDescent="0.25">
      <c r="A79" s="29">
        <v>78</v>
      </c>
      <c r="B79" s="24" t="s">
        <v>234</v>
      </c>
      <c r="C79" s="21" t="s">
        <v>234</v>
      </c>
      <c r="D79" s="24" t="s">
        <v>236</v>
      </c>
      <c r="E79" s="23" t="s">
        <v>82</v>
      </c>
      <c r="F79" s="22"/>
      <c r="G79" s="22"/>
      <c r="H79" s="22"/>
      <c r="I79" s="22"/>
      <c r="J79" s="22"/>
      <c r="K79" s="22"/>
      <c r="L79" s="22"/>
      <c r="M79" s="22"/>
      <c r="N79" s="22"/>
      <c r="O79" s="22"/>
      <c r="P79" s="22"/>
      <c r="Q79" s="22"/>
      <c r="R79" s="22"/>
      <c r="S79" s="22"/>
      <c r="T79" s="25"/>
      <c r="U79" s="25"/>
      <c r="V79" s="25"/>
      <c r="W79" s="22"/>
      <c r="X79" s="22"/>
      <c r="Y79" s="22"/>
      <c r="Z79" s="22"/>
      <c r="AA79" s="22"/>
      <c r="AB79" s="22"/>
      <c r="AC79" s="22"/>
      <c r="AD79" s="22"/>
      <c r="AG79" s="22"/>
      <c r="AJ79" s="22"/>
      <c r="AK79" s="22">
        <v>200</v>
      </c>
      <c r="AO79" s="25"/>
      <c r="AQ79" s="25"/>
      <c r="AR79" s="27"/>
      <c r="AS79" s="27"/>
      <c r="AT79" s="27"/>
      <c r="BA79" s="25"/>
      <c r="BB79" s="25"/>
      <c r="BC79" s="25"/>
      <c r="BD79" s="25"/>
      <c r="BE79" s="25"/>
      <c r="BF79" s="25"/>
      <c r="BG79" s="25"/>
      <c r="BH79" s="25"/>
      <c r="BI79" s="25"/>
      <c r="BJ79" s="25"/>
      <c r="BK79" s="25"/>
      <c r="BL79" s="25"/>
      <c r="BM79" s="25"/>
      <c r="BN79" s="25"/>
      <c r="BO79" s="25"/>
      <c r="BP79" s="25"/>
      <c r="BQ79" s="25"/>
      <c r="BR79" s="25"/>
      <c r="BS79" s="25"/>
      <c r="BT79" s="25">
        <f t="shared" si="8"/>
        <v>200</v>
      </c>
      <c r="BU79" s="28">
        <f t="shared" si="5"/>
        <v>200</v>
      </c>
      <c r="BV79" s="25">
        <f t="shared" si="6"/>
        <v>250</v>
      </c>
      <c r="BW79" s="25">
        <f t="shared" si="9"/>
        <v>50000</v>
      </c>
      <c r="BX79" s="25">
        <v>50000</v>
      </c>
      <c r="BY79" s="22">
        <v>300</v>
      </c>
      <c r="BZ79" s="22">
        <f t="shared" si="7"/>
        <v>60000</v>
      </c>
    </row>
    <row r="80" spans="1:80" ht="29.25" customHeight="1" x14ac:dyDescent="0.25">
      <c r="A80" s="23">
        <v>79</v>
      </c>
      <c r="B80" s="30" t="s">
        <v>237</v>
      </c>
      <c r="C80" s="25" t="s">
        <v>237</v>
      </c>
      <c r="D80" s="30" t="s">
        <v>238</v>
      </c>
      <c r="E80" s="29" t="s">
        <v>82</v>
      </c>
      <c r="F80" s="25"/>
      <c r="G80" s="25"/>
      <c r="H80" s="25"/>
      <c r="I80" s="25"/>
      <c r="J80" s="25"/>
      <c r="K80" s="25"/>
      <c r="L80" s="25"/>
      <c r="M80" s="25"/>
      <c r="N80" s="25"/>
      <c r="O80" s="25"/>
      <c r="P80" s="25"/>
      <c r="Q80" s="25"/>
      <c r="R80" s="25"/>
      <c r="S80" s="25"/>
      <c r="T80" s="25"/>
      <c r="U80" s="25"/>
      <c r="V80" s="25"/>
      <c r="W80" s="25"/>
      <c r="X80" s="25"/>
      <c r="Y80" s="25"/>
      <c r="Z80" s="25">
        <v>800</v>
      </c>
      <c r="AA80" s="27"/>
      <c r="AB80" s="25"/>
      <c r="AO80" s="25"/>
      <c r="AQ80" s="25"/>
      <c r="AR80" s="27"/>
      <c r="AS80" s="27"/>
      <c r="AT80" s="27"/>
      <c r="BA80" s="25"/>
      <c r="BB80" s="25"/>
      <c r="BC80" s="25"/>
      <c r="BD80" s="25"/>
      <c r="BE80" s="25"/>
      <c r="BF80" s="25"/>
      <c r="BG80" s="25"/>
      <c r="BH80" s="25"/>
      <c r="BI80" s="25"/>
      <c r="BJ80" s="25"/>
      <c r="BK80" s="25"/>
      <c r="BL80" s="25"/>
      <c r="BM80" s="25"/>
      <c r="BN80" s="25"/>
      <c r="BO80" s="25"/>
      <c r="BP80" s="25"/>
      <c r="BQ80" s="25"/>
      <c r="BR80" s="25"/>
      <c r="BS80" s="25"/>
      <c r="BT80" s="25">
        <f t="shared" si="8"/>
        <v>800</v>
      </c>
      <c r="BU80" s="28">
        <f t="shared" si="5"/>
        <v>800</v>
      </c>
      <c r="BV80" s="25">
        <f t="shared" si="6"/>
        <v>400</v>
      </c>
      <c r="BW80" s="25">
        <f t="shared" si="9"/>
        <v>320000</v>
      </c>
      <c r="BX80" s="25">
        <v>320000</v>
      </c>
      <c r="BY80" s="45">
        <v>480</v>
      </c>
      <c r="BZ80" s="22">
        <f t="shared" si="7"/>
        <v>384000</v>
      </c>
    </row>
    <row r="81" spans="1:81" ht="29.25" customHeight="1" x14ac:dyDescent="0.25">
      <c r="A81" s="29">
        <v>80</v>
      </c>
      <c r="B81" s="24" t="s">
        <v>239</v>
      </c>
      <c r="C81" s="21" t="s">
        <v>239</v>
      </c>
      <c r="D81" s="24" t="s">
        <v>240</v>
      </c>
      <c r="E81" s="39" t="s">
        <v>79</v>
      </c>
      <c r="F81" s="21"/>
      <c r="G81" s="21"/>
      <c r="H81" s="21"/>
      <c r="I81" s="21"/>
      <c r="J81" s="21"/>
      <c r="K81" s="21"/>
      <c r="L81" s="21"/>
      <c r="M81" s="21"/>
      <c r="N81" s="21"/>
      <c r="O81" s="21"/>
      <c r="P81" s="21"/>
      <c r="Q81" s="21"/>
      <c r="R81" s="21"/>
      <c r="S81" s="21"/>
      <c r="T81" s="25"/>
      <c r="U81" s="25"/>
      <c r="V81" s="25"/>
      <c r="W81" s="21"/>
      <c r="X81" s="21"/>
      <c r="Y81" s="21"/>
      <c r="Z81" s="21"/>
      <c r="AA81" s="21"/>
      <c r="AB81" s="21"/>
      <c r="AC81" s="21"/>
      <c r="AD81" s="21"/>
      <c r="AE81" s="21"/>
      <c r="AF81" s="21"/>
      <c r="AG81" s="21"/>
      <c r="AH81" s="21"/>
      <c r="AI81" s="21"/>
      <c r="AJ81" s="21"/>
      <c r="AK81" s="21"/>
      <c r="AL81" s="21"/>
      <c r="AM81" s="21"/>
      <c r="AN81" s="21"/>
      <c r="AO81" s="21"/>
      <c r="AP81" s="40"/>
      <c r="AQ81" s="25"/>
      <c r="AR81" s="21"/>
      <c r="AS81" s="21"/>
      <c r="AT81" s="21"/>
      <c r="AU81" s="21"/>
      <c r="AV81" s="21"/>
      <c r="AW81" s="21"/>
      <c r="AX81" s="21"/>
      <c r="AY81" s="21">
        <v>1</v>
      </c>
      <c r="BA81" s="25"/>
      <c r="BB81" s="25"/>
      <c r="BC81" s="25"/>
      <c r="BD81" s="25"/>
      <c r="BE81" s="25"/>
      <c r="BF81" s="25"/>
      <c r="BG81" s="25"/>
      <c r="BH81" s="25"/>
      <c r="BI81" s="25"/>
      <c r="BJ81" s="25"/>
      <c r="BK81" s="25"/>
      <c r="BL81" s="25"/>
      <c r="BM81" s="25"/>
      <c r="BN81" s="25"/>
      <c r="BO81" s="25"/>
      <c r="BP81" s="25"/>
      <c r="BQ81" s="25"/>
      <c r="BR81" s="25"/>
      <c r="BS81" s="25"/>
      <c r="BT81" s="25">
        <f t="shared" si="8"/>
        <v>1</v>
      </c>
      <c r="BU81" s="28">
        <f t="shared" si="5"/>
        <v>1</v>
      </c>
      <c r="BV81" s="25">
        <f t="shared" si="6"/>
        <v>5833.3333333333339</v>
      </c>
      <c r="BW81" s="25">
        <f t="shared" si="9"/>
        <v>5833.3333333333339</v>
      </c>
      <c r="BX81" s="25">
        <v>5833.34</v>
      </c>
      <c r="BY81" s="67">
        <v>7000</v>
      </c>
      <c r="BZ81" s="22">
        <f t="shared" si="7"/>
        <v>7000</v>
      </c>
      <c r="CA81" s="50" t="s">
        <v>241</v>
      </c>
      <c r="CB81" s="20" t="s">
        <v>242</v>
      </c>
    </row>
    <row r="82" spans="1:81" ht="29.25" customHeight="1" x14ac:dyDescent="0.25">
      <c r="A82" s="23">
        <v>81</v>
      </c>
      <c r="B82" s="24" t="s">
        <v>243</v>
      </c>
      <c r="C82" s="21" t="s">
        <v>243</v>
      </c>
      <c r="D82" s="30" t="s">
        <v>244</v>
      </c>
      <c r="E82" s="29" t="s">
        <v>82</v>
      </c>
      <c r="F82" s="25"/>
      <c r="G82" s="25"/>
      <c r="H82" s="25"/>
      <c r="I82" s="25"/>
      <c r="J82" s="25"/>
      <c r="K82" s="25"/>
      <c r="L82" s="25"/>
      <c r="M82" s="25"/>
      <c r="N82" s="25"/>
      <c r="O82" s="25"/>
      <c r="P82" s="25"/>
      <c r="Q82" s="25"/>
      <c r="R82" s="25"/>
      <c r="S82" s="25"/>
      <c r="T82" s="25"/>
      <c r="U82" s="25"/>
      <c r="V82" s="25"/>
      <c r="W82" s="25"/>
      <c r="X82" s="25"/>
      <c r="Y82" s="25"/>
      <c r="Z82" s="25"/>
      <c r="AA82" s="25"/>
      <c r="AB82" s="25"/>
      <c r="AF82" s="25"/>
      <c r="AG82" s="25"/>
      <c r="AK82" s="25"/>
      <c r="AN82" s="25"/>
      <c r="AO82" s="25"/>
      <c r="AQ82" s="25"/>
      <c r="AR82" s="25"/>
      <c r="AS82" s="25"/>
      <c r="AT82" s="25"/>
      <c r="AV82" s="25"/>
      <c r="AW82" s="25"/>
      <c r="AX82" s="25"/>
      <c r="AY82" s="25">
        <v>1</v>
      </c>
      <c r="BA82" s="25"/>
      <c r="BB82" s="25"/>
      <c r="BC82" s="25"/>
      <c r="BD82" s="25"/>
      <c r="BE82" s="25"/>
      <c r="BF82" s="25"/>
      <c r="BG82" s="25"/>
      <c r="BH82" s="25"/>
      <c r="BI82" s="25"/>
      <c r="BJ82" s="25"/>
      <c r="BK82" s="25"/>
      <c r="BL82" s="25"/>
      <c r="BM82" s="25"/>
      <c r="BN82" s="25"/>
      <c r="BO82" s="25"/>
      <c r="BP82" s="25"/>
      <c r="BQ82" s="25"/>
      <c r="BR82" s="25"/>
      <c r="BS82" s="25"/>
      <c r="BT82" s="25">
        <f t="shared" si="8"/>
        <v>1</v>
      </c>
      <c r="BU82" s="28">
        <f t="shared" si="5"/>
        <v>1</v>
      </c>
      <c r="BV82" s="25">
        <f t="shared" si="6"/>
        <v>4166.666666666667</v>
      </c>
      <c r="BW82" s="25">
        <f t="shared" si="9"/>
        <v>4166.666666666667</v>
      </c>
      <c r="BX82" s="25">
        <v>4166.67</v>
      </c>
      <c r="BY82" s="32">
        <v>5000</v>
      </c>
      <c r="BZ82" s="22">
        <f t="shared" si="7"/>
        <v>5000</v>
      </c>
      <c r="CA82" s="50" t="s">
        <v>241</v>
      </c>
      <c r="CB82" s="20" t="s">
        <v>245</v>
      </c>
    </row>
    <row r="83" spans="1:81" ht="29.25" customHeight="1" x14ac:dyDescent="0.25">
      <c r="A83" s="29">
        <v>82</v>
      </c>
      <c r="B83" s="24" t="s">
        <v>246</v>
      </c>
      <c r="C83" s="21" t="s">
        <v>246</v>
      </c>
      <c r="D83" s="24" t="s">
        <v>247</v>
      </c>
      <c r="E83" s="23" t="s">
        <v>82</v>
      </c>
      <c r="F83" s="22"/>
      <c r="G83" s="22"/>
      <c r="H83" s="22"/>
      <c r="I83" s="22"/>
      <c r="J83" s="22"/>
      <c r="K83" s="22"/>
      <c r="L83" s="22"/>
      <c r="M83" s="22"/>
      <c r="N83" s="22"/>
      <c r="O83" s="22"/>
      <c r="P83" s="22"/>
      <c r="Q83" s="22"/>
      <c r="R83" s="22"/>
      <c r="S83" s="22"/>
      <c r="T83" s="25"/>
      <c r="U83" s="25"/>
      <c r="V83" s="25"/>
      <c r="W83" s="22"/>
      <c r="X83" s="22"/>
      <c r="Y83" s="22"/>
      <c r="Z83" s="22"/>
      <c r="AA83" s="22"/>
      <c r="AB83" s="22"/>
      <c r="AC83" s="22"/>
      <c r="AD83" s="22"/>
      <c r="AG83" s="22"/>
      <c r="AJ83" s="22"/>
      <c r="AK83" s="22">
        <v>120</v>
      </c>
      <c r="AO83" s="25"/>
      <c r="AQ83" s="25"/>
      <c r="AR83" s="27"/>
      <c r="AS83" s="27"/>
      <c r="AT83" s="27"/>
      <c r="BA83" s="25"/>
      <c r="BB83" s="25"/>
      <c r="BC83" s="25"/>
      <c r="BD83" s="25"/>
      <c r="BE83" s="25"/>
      <c r="BF83" s="25"/>
      <c r="BG83" s="25"/>
      <c r="BH83" s="25"/>
      <c r="BI83" s="25"/>
      <c r="BJ83" s="25"/>
      <c r="BK83" s="25"/>
      <c r="BL83" s="25"/>
      <c r="BM83" s="25"/>
      <c r="BN83" s="25"/>
      <c r="BO83" s="25"/>
      <c r="BP83" s="25"/>
      <c r="BQ83" s="25"/>
      <c r="BR83" s="25"/>
      <c r="BS83" s="25"/>
      <c r="BT83" s="25">
        <f t="shared" si="8"/>
        <v>120</v>
      </c>
      <c r="BU83" s="28">
        <f t="shared" si="5"/>
        <v>120</v>
      </c>
      <c r="BV83" s="25">
        <f t="shared" si="6"/>
        <v>1046.6666666666667</v>
      </c>
      <c r="BW83" s="25">
        <f t="shared" si="9"/>
        <v>125600.00000000001</v>
      </c>
      <c r="BX83" s="25">
        <v>125600</v>
      </c>
      <c r="BY83" s="22">
        <v>1256</v>
      </c>
      <c r="BZ83" s="22">
        <f t="shared" si="7"/>
        <v>150720</v>
      </c>
    </row>
    <row r="84" spans="1:81" ht="29.25" customHeight="1" x14ac:dyDescent="0.25">
      <c r="A84" s="23">
        <v>83</v>
      </c>
      <c r="B84" s="30" t="s">
        <v>248</v>
      </c>
      <c r="C84" s="25" t="s">
        <v>248</v>
      </c>
      <c r="D84" s="30" t="s">
        <v>249</v>
      </c>
      <c r="E84" s="29" t="s">
        <v>82</v>
      </c>
      <c r="F84" s="25"/>
      <c r="G84" s="25"/>
      <c r="H84" s="25"/>
      <c r="I84" s="25"/>
      <c r="J84" s="25"/>
      <c r="K84" s="25"/>
      <c r="L84" s="25"/>
      <c r="M84" s="25"/>
      <c r="N84" s="25"/>
      <c r="O84" s="25"/>
      <c r="P84" s="25"/>
      <c r="Q84" s="25"/>
      <c r="R84" s="25"/>
      <c r="S84" s="25"/>
      <c r="T84" s="25"/>
      <c r="U84" s="25"/>
      <c r="V84" s="25"/>
      <c r="W84" s="25"/>
      <c r="X84" s="25"/>
      <c r="Y84" s="25"/>
      <c r="Z84" s="25"/>
      <c r="AA84" s="25"/>
      <c r="AB84" s="25">
        <v>300</v>
      </c>
      <c r="AO84" s="25"/>
      <c r="AQ84" s="25"/>
      <c r="AR84" s="27"/>
      <c r="AS84" s="27"/>
      <c r="AT84" s="27"/>
      <c r="BA84" s="25"/>
      <c r="BB84" s="25"/>
      <c r="BC84" s="25"/>
      <c r="BD84" s="25"/>
      <c r="BE84" s="25"/>
      <c r="BF84" s="25"/>
      <c r="BG84" s="25"/>
      <c r="BH84" s="25"/>
      <c r="BI84" s="25"/>
      <c r="BJ84" s="25"/>
      <c r="BK84" s="25"/>
      <c r="BL84" s="25"/>
      <c r="BM84" s="25"/>
      <c r="BN84" s="25"/>
      <c r="BO84" s="25"/>
      <c r="BP84" s="25"/>
      <c r="BQ84" s="25"/>
      <c r="BR84" s="25"/>
      <c r="BS84" s="25"/>
      <c r="BT84" s="25">
        <f t="shared" si="8"/>
        <v>300</v>
      </c>
      <c r="BU84" s="28">
        <f t="shared" si="5"/>
        <v>300</v>
      </c>
      <c r="BV84" s="25">
        <f t="shared" si="6"/>
        <v>143.33333333333334</v>
      </c>
      <c r="BW84" s="25">
        <f t="shared" si="9"/>
        <v>43000</v>
      </c>
      <c r="BX84" s="25">
        <v>43000</v>
      </c>
      <c r="BY84" s="38">
        <v>172</v>
      </c>
      <c r="BZ84" s="22">
        <f t="shared" si="7"/>
        <v>51600</v>
      </c>
    </row>
    <row r="85" spans="1:81" ht="29.25" customHeight="1" x14ac:dyDescent="0.25">
      <c r="A85" s="29">
        <v>84</v>
      </c>
      <c r="B85" s="30" t="s">
        <v>250</v>
      </c>
      <c r="C85" s="25" t="s">
        <v>250</v>
      </c>
      <c r="D85" s="30" t="s">
        <v>251</v>
      </c>
      <c r="E85" s="29" t="s">
        <v>79</v>
      </c>
      <c r="F85" s="25"/>
      <c r="G85" s="25"/>
      <c r="H85" s="25"/>
      <c r="I85" s="25"/>
      <c r="J85" s="25"/>
      <c r="K85" s="25"/>
      <c r="L85" s="25"/>
      <c r="M85" s="25"/>
      <c r="N85" s="25"/>
      <c r="O85" s="25"/>
      <c r="P85" s="25"/>
      <c r="Q85" s="25"/>
      <c r="R85" s="25"/>
      <c r="S85" s="25"/>
      <c r="T85" s="25"/>
      <c r="U85" s="25"/>
      <c r="V85" s="25"/>
      <c r="W85" s="25"/>
      <c r="X85" s="25"/>
      <c r="Y85" s="25"/>
      <c r="Z85" s="25"/>
      <c r="AA85" s="25"/>
      <c r="AB85" s="25"/>
      <c r="AF85" s="25"/>
      <c r="AG85" s="25"/>
      <c r="AK85" s="25"/>
      <c r="AM85" s="25">
        <v>65</v>
      </c>
      <c r="AO85" s="25"/>
      <c r="AQ85" s="25"/>
      <c r="AR85" s="25"/>
      <c r="AS85" s="25"/>
      <c r="AT85" s="25"/>
      <c r="AV85" s="25"/>
      <c r="AW85" s="25"/>
      <c r="AX85" s="25"/>
      <c r="AY85" s="21"/>
      <c r="BA85" s="25"/>
      <c r="BB85" s="25"/>
      <c r="BC85" s="25"/>
      <c r="BD85" s="25"/>
      <c r="BE85" s="25"/>
      <c r="BF85" s="25"/>
      <c r="BG85" s="25"/>
      <c r="BH85" s="25"/>
      <c r="BI85" s="25"/>
      <c r="BJ85" s="25"/>
      <c r="BK85" s="25"/>
      <c r="BL85" s="25"/>
      <c r="BM85" s="25"/>
      <c r="BN85" s="25"/>
      <c r="BO85" s="25"/>
      <c r="BP85" s="25"/>
      <c r="BQ85" s="25"/>
      <c r="BR85" s="25"/>
      <c r="BS85" s="25"/>
      <c r="BT85" s="25">
        <f t="shared" si="8"/>
        <v>65</v>
      </c>
      <c r="BU85" s="28">
        <f t="shared" si="5"/>
        <v>65</v>
      </c>
      <c r="BV85" s="25">
        <f t="shared" si="6"/>
        <v>679.16666666666674</v>
      </c>
      <c r="BW85" s="25">
        <f t="shared" si="9"/>
        <v>44145.833333333336</v>
      </c>
      <c r="BX85" s="25">
        <v>44145.840000000004</v>
      </c>
      <c r="BY85" s="68">
        <v>815</v>
      </c>
      <c r="BZ85" s="22">
        <f t="shared" si="7"/>
        <v>52975</v>
      </c>
    </row>
    <row r="86" spans="1:81" ht="29.25" customHeight="1" x14ac:dyDescent="0.25">
      <c r="A86" s="23">
        <v>85</v>
      </c>
      <c r="B86" s="30" t="s">
        <v>252</v>
      </c>
      <c r="C86" s="25" t="s">
        <v>252</v>
      </c>
      <c r="D86" s="30" t="s">
        <v>253</v>
      </c>
      <c r="E86" s="56" t="s">
        <v>82</v>
      </c>
      <c r="F86" s="55"/>
      <c r="G86" s="27"/>
      <c r="H86" s="27"/>
      <c r="I86" s="27"/>
      <c r="J86" s="27"/>
      <c r="K86" s="27"/>
      <c r="L86" s="27"/>
      <c r="M86" s="27"/>
      <c r="N86" s="27"/>
      <c r="O86" s="27"/>
      <c r="P86" s="27"/>
      <c r="Q86" s="27"/>
      <c r="R86" s="27"/>
      <c r="S86" s="27"/>
      <c r="T86" s="25"/>
      <c r="U86" s="25"/>
      <c r="V86" s="25"/>
      <c r="W86" s="27"/>
      <c r="X86" s="27"/>
      <c r="Y86" s="27"/>
      <c r="Z86" s="27"/>
      <c r="AA86" s="27"/>
      <c r="AB86" s="27"/>
      <c r="AC86" s="25">
        <v>2300</v>
      </c>
      <c r="AO86" s="25"/>
      <c r="AQ86" s="25"/>
      <c r="AR86" s="27"/>
      <c r="AS86" s="27"/>
      <c r="AT86" s="27"/>
      <c r="BA86" s="25"/>
      <c r="BB86" s="25"/>
      <c r="BC86" s="25"/>
      <c r="BD86" s="25"/>
      <c r="BE86" s="25"/>
      <c r="BF86" s="25"/>
      <c r="BG86" s="25"/>
      <c r="BH86" s="25"/>
      <c r="BI86" s="25"/>
      <c r="BJ86" s="25"/>
      <c r="BK86" s="25"/>
      <c r="BL86" s="25"/>
      <c r="BM86" s="25"/>
      <c r="BN86" s="25"/>
      <c r="BO86" s="25"/>
      <c r="BP86" s="25"/>
      <c r="BQ86" s="25"/>
      <c r="BR86" s="25"/>
      <c r="BS86" s="25"/>
      <c r="BT86" s="25">
        <f t="shared" si="8"/>
        <v>2300</v>
      </c>
      <c r="BU86" s="28">
        <f t="shared" si="5"/>
        <v>2300</v>
      </c>
      <c r="BV86" s="25">
        <f t="shared" si="6"/>
        <v>45.833333333333336</v>
      </c>
      <c r="BW86" s="25">
        <f t="shared" si="9"/>
        <v>105416.66666666667</v>
      </c>
      <c r="BX86" s="25">
        <v>105416.67</v>
      </c>
      <c r="BY86" s="57">
        <v>55</v>
      </c>
      <c r="BZ86" s="22">
        <f t="shared" si="7"/>
        <v>126500</v>
      </c>
      <c r="CB86" s="20" t="e">
        <f>BY86+#REF!</f>
        <v>#REF!</v>
      </c>
      <c r="CC86" s="20">
        <v>3.8860000000000001</v>
      </c>
    </row>
    <row r="87" spans="1:81" ht="29.25" customHeight="1" x14ac:dyDescent="0.25">
      <c r="A87" s="29">
        <v>86</v>
      </c>
      <c r="B87" s="30" t="s">
        <v>254</v>
      </c>
      <c r="C87" s="25" t="s">
        <v>254</v>
      </c>
      <c r="D87" s="30" t="s">
        <v>255</v>
      </c>
      <c r="E87" s="56" t="s">
        <v>82</v>
      </c>
      <c r="F87" s="55"/>
      <c r="G87" s="27"/>
      <c r="H87" s="27"/>
      <c r="I87" s="27"/>
      <c r="J87" s="27"/>
      <c r="K87" s="27"/>
      <c r="L87" s="27"/>
      <c r="M87" s="27"/>
      <c r="N87" s="27"/>
      <c r="O87" s="27"/>
      <c r="P87" s="27"/>
      <c r="Q87" s="27"/>
      <c r="R87" s="27"/>
      <c r="S87" s="27"/>
      <c r="T87" s="25"/>
      <c r="U87" s="25"/>
      <c r="V87" s="25"/>
      <c r="W87" s="27"/>
      <c r="X87" s="27"/>
      <c r="Y87" s="27"/>
      <c r="Z87" s="27"/>
      <c r="AA87" s="27"/>
      <c r="AB87" s="27"/>
      <c r="AC87" s="25">
        <v>5000</v>
      </c>
      <c r="AO87" s="25"/>
      <c r="AQ87" s="25"/>
      <c r="AR87" s="27"/>
      <c r="AS87" s="27"/>
      <c r="AT87" s="27"/>
      <c r="BA87" s="25"/>
      <c r="BB87" s="25"/>
      <c r="BC87" s="25"/>
      <c r="BD87" s="25"/>
      <c r="BE87" s="25"/>
      <c r="BF87" s="25"/>
      <c r="BG87" s="25"/>
      <c r="BH87" s="25"/>
      <c r="BI87" s="25"/>
      <c r="BJ87" s="25"/>
      <c r="BK87" s="25"/>
      <c r="BL87" s="25"/>
      <c r="BM87" s="25"/>
      <c r="BN87" s="25"/>
      <c r="BO87" s="25"/>
      <c r="BP87" s="25"/>
      <c r="BQ87" s="25"/>
      <c r="BR87" s="25"/>
      <c r="BS87" s="25"/>
      <c r="BT87" s="25">
        <f t="shared" si="8"/>
        <v>5000</v>
      </c>
      <c r="BU87" s="28">
        <f t="shared" si="5"/>
        <v>5000</v>
      </c>
      <c r="BV87" s="25">
        <f t="shared" si="6"/>
        <v>45.833333333333336</v>
      </c>
      <c r="BW87" s="25">
        <f t="shared" si="9"/>
        <v>229166.66666666669</v>
      </c>
      <c r="BX87" s="25">
        <v>229166.67</v>
      </c>
      <c r="BY87" s="57">
        <v>55</v>
      </c>
      <c r="BZ87" s="22">
        <f t="shared" si="7"/>
        <v>275000</v>
      </c>
    </row>
    <row r="88" spans="1:81" ht="29.25" customHeight="1" x14ac:dyDescent="0.25">
      <c r="A88" s="23">
        <v>87</v>
      </c>
      <c r="B88" s="24" t="s">
        <v>256</v>
      </c>
      <c r="C88" s="21" t="s">
        <v>256</v>
      </c>
      <c r="D88" s="24" t="s">
        <v>257</v>
      </c>
      <c r="E88" s="23" t="s">
        <v>82</v>
      </c>
      <c r="F88" s="22"/>
      <c r="G88" s="22"/>
      <c r="H88" s="22"/>
      <c r="I88" s="22"/>
      <c r="J88" s="22"/>
      <c r="K88" s="22"/>
      <c r="L88" s="22"/>
      <c r="M88" s="22"/>
      <c r="N88" s="22"/>
      <c r="O88" s="22"/>
      <c r="P88" s="22"/>
      <c r="Q88" s="22"/>
      <c r="R88" s="22"/>
      <c r="S88" s="22"/>
      <c r="T88" s="25"/>
      <c r="U88" s="25"/>
      <c r="V88" s="25"/>
      <c r="W88" s="22"/>
      <c r="X88" s="22"/>
      <c r="Y88" s="22"/>
      <c r="Z88" s="22"/>
      <c r="AA88" s="22"/>
      <c r="AB88" s="22"/>
      <c r="AC88" s="22"/>
      <c r="AD88" s="22"/>
      <c r="AG88" s="22"/>
      <c r="AJ88" s="22"/>
      <c r="AK88" s="22">
        <v>100</v>
      </c>
      <c r="AO88" s="25"/>
      <c r="AQ88" s="25"/>
      <c r="AR88" s="27"/>
      <c r="AS88" s="27"/>
      <c r="AT88" s="27"/>
      <c r="BA88" s="25"/>
      <c r="BB88" s="25"/>
      <c r="BC88" s="25"/>
      <c r="BD88" s="25"/>
      <c r="BE88" s="25"/>
      <c r="BF88" s="25"/>
      <c r="BG88" s="25"/>
      <c r="BH88" s="25"/>
      <c r="BI88" s="25"/>
      <c r="BJ88" s="25"/>
      <c r="BK88" s="25"/>
      <c r="BL88" s="25"/>
      <c r="BM88" s="25"/>
      <c r="BN88" s="25"/>
      <c r="BO88" s="25"/>
      <c r="BP88" s="25"/>
      <c r="BQ88" s="25"/>
      <c r="BR88" s="25"/>
      <c r="BS88" s="25"/>
      <c r="BT88" s="25">
        <f t="shared" si="8"/>
        <v>100</v>
      </c>
      <c r="BU88" s="28">
        <f t="shared" si="5"/>
        <v>100</v>
      </c>
      <c r="BV88" s="25">
        <f t="shared" si="6"/>
        <v>250</v>
      </c>
      <c r="BW88" s="25">
        <f t="shared" si="9"/>
        <v>25000</v>
      </c>
      <c r="BX88" s="25">
        <v>25000</v>
      </c>
      <c r="BY88" s="22">
        <v>300</v>
      </c>
      <c r="BZ88" s="22">
        <f t="shared" si="7"/>
        <v>30000</v>
      </c>
    </row>
    <row r="89" spans="1:81" ht="29.25" customHeight="1" x14ac:dyDescent="0.25">
      <c r="A89" s="29">
        <v>88</v>
      </c>
      <c r="B89" s="24" t="s">
        <v>258</v>
      </c>
      <c r="C89" s="21" t="s">
        <v>258</v>
      </c>
      <c r="D89" s="24" t="s">
        <v>259</v>
      </c>
      <c r="E89" s="39" t="s">
        <v>82</v>
      </c>
      <c r="F89" s="21"/>
      <c r="G89" s="21"/>
      <c r="H89" s="21"/>
      <c r="I89" s="21"/>
      <c r="J89" s="21"/>
      <c r="K89" s="21"/>
      <c r="L89" s="21"/>
      <c r="M89" s="21"/>
      <c r="N89" s="21"/>
      <c r="O89" s="21"/>
      <c r="P89" s="21"/>
      <c r="Q89" s="21"/>
      <c r="R89" s="21"/>
      <c r="S89" s="21"/>
      <c r="T89" s="25"/>
      <c r="U89" s="25"/>
      <c r="V89" s="25"/>
      <c r="W89" s="21"/>
      <c r="X89" s="21"/>
      <c r="Y89" s="21"/>
      <c r="Z89" s="21"/>
      <c r="AA89" s="21"/>
      <c r="AB89" s="21"/>
      <c r="AC89" s="21"/>
      <c r="AD89" s="21"/>
      <c r="AE89" s="21"/>
      <c r="AF89" s="21"/>
      <c r="AG89" s="21"/>
      <c r="AH89" s="21"/>
      <c r="AI89" s="21"/>
      <c r="AJ89" s="21"/>
      <c r="AK89" s="21"/>
      <c r="AL89" s="21"/>
      <c r="AM89" s="21"/>
      <c r="AN89" s="21"/>
      <c r="AO89" s="21"/>
      <c r="AP89" s="40"/>
      <c r="AQ89" s="25"/>
      <c r="AR89" s="21"/>
      <c r="AS89" s="21"/>
      <c r="AT89" s="21"/>
      <c r="AU89" s="21"/>
      <c r="AV89" s="21"/>
      <c r="AW89" s="21"/>
      <c r="AX89" s="21"/>
      <c r="AY89" s="21">
        <v>100</v>
      </c>
      <c r="BA89" s="25"/>
      <c r="BB89" s="25"/>
      <c r="BC89" s="25"/>
      <c r="BD89" s="25"/>
      <c r="BE89" s="25"/>
      <c r="BF89" s="25"/>
      <c r="BG89" s="25"/>
      <c r="BH89" s="25"/>
      <c r="BI89" s="25"/>
      <c r="BJ89" s="25"/>
      <c r="BK89" s="25"/>
      <c r="BL89" s="25"/>
      <c r="BM89" s="25"/>
      <c r="BN89" s="25"/>
      <c r="BO89" s="25"/>
      <c r="BP89" s="25"/>
      <c r="BQ89" s="25"/>
      <c r="BR89" s="25"/>
      <c r="BS89" s="25"/>
      <c r="BT89" s="25">
        <f t="shared" si="8"/>
        <v>100</v>
      </c>
      <c r="BU89" s="28">
        <f t="shared" si="5"/>
        <v>100</v>
      </c>
      <c r="BV89" s="25">
        <f t="shared" si="6"/>
        <v>666.66666666666674</v>
      </c>
      <c r="BW89" s="25">
        <f t="shared" si="9"/>
        <v>66666.666666666672</v>
      </c>
      <c r="BX89" s="25">
        <v>66666.67</v>
      </c>
      <c r="BY89" s="67">
        <v>800</v>
      </c>
      <c r="BZ89" s="22">
        <f t="shared" si="7"/>
        <v>80000</v>
      </c>
    </row>
    <row r="90" spans="1:81" ht="29.25" customHeight="1" x14ac:dyDescent="0.25">
      <c r="A90" s="23">
        <v>89</v>
      </c>
      <c r="B90" s="24" t="s">
        <v>260</v>
      </c>
      <c r="C90" s="24" t="s">
        <v>260</v>
      </c>
      <c r="D90" s="24" t="s">
        <v>261</v>
      </c>
      <c r="E90" s="51" t="s">
        <v>82</v>
      </c>
      <c r="F90" s="26"/>
      <c r="G90" s="27"/>
      <c r="H90" s="27"/>
      <c r="I90" s="27"/>
      <c r="J90" s="27"/>
      <c r="K90" s="27"/>
      <c r="L90" s="27"/>
      <c r="M90" s="27"/>
      <c r="N90" s="27"/>
      <c r="O90" s="27"/>
      <c r="P90" s="27"/>
      <c r="Q90" s="27"/>
      <c r="R90" s="27"/>
      <c r="S90" s="27"/>
      <c r="T90" s="25"/>
      <c r="U90" s="25"/>
      <c r="V90" s="25"/>
      <c r="W90" s="27"/>
      <c r="X90" s="27"/>
      <c r="Y90" s="27"/>
      <c r="Z90" s="27"/>
      <c r="AA90" s="27">
        <v>1</v>
      </c>
      <c r="AB90" s="25"/>
      <c r="AO90" s="25"/>
      <c r="AQ90" s="25"/>
      <c r="AR90" s="27"/>
      <c r="AS90" s="27"/>
      <c r="AT90" s="27"/>
      <c r="BA90" s="25"/>
      <c r="BB90" s="25"/>
      <c r="BC90" s="25"/>
      <c r="BD90" s="25"/>
      <c r="BE90" s="25"/>
      <c r="BF90" s="25"/>
      <c r="BG90" s="25"/>
      <c r="BH90" s="25"/>
      <c r="BI90" s="25"/>
      <c r="BJ90" s="25"/>
      <c r="BK90" s="25"/>
      <c r="BL90" s="25"/>
      <c r="BM90" s="25"/>
      <c r="BN90" s="25"/>
      <c r="BO90" s="25"/>
      <c r="BP90" s="25"/>
      <c r="BQ90" s="25"/>
      <c r="BR90" s="25"/>
      <c r="BS90" s="25"/>
      <c r="BT90" s="25">
        <f t="shared" si="8"/>
        <v>1</v>
      </c>
      <c r="BU90" s="28">
        <f t="shared" si="5"/>
        <v>1</v>
      </c>
      <c r="BV90" s="25">
        <f t="shared" si="6"/>
        <v>250</v>
      </c>
      <c r="BW90" s="25">
        <f t="shared" si="9"/>
        <v>250</v>
      </c>
      <c r="BX90" s="25">
        <v>250</v>
      </c>
      <c r="BY90" s="69">
        <v>300</v>
      </c>
      <c r="BZ90" s="22">
        <f t="shared" si="7"/>
        <v>300</v>
      </c>
    </row>
    <row r="91" spans="1:81" ht="29.25" customHeight="1" x14ac:dyDescent="0.25">
      <c r="A91" s="29">
        <v>90</v>
      </c>
      <c r="B91" s="30" t="s">
        <v>262</v>
      </c>
      <c r="C91" s="25" t="s">
        <v>262</v>
      </c>
      <c r="D91" s="30" t="s">
        <v>263</v>
      </c>
      <c r="E91" s="61" t="s">
        <v>79</v>
      </c>
      <c r="F91" s="27"/>
      <c r="G91" s="27"/>
      <c r="H91" s="27"/>
      <c r="I91" s="27"/>
      <c r="J91" s="27"/>
      <c r="K91" s="27"/>
      <c r="L91" s="27"/>
      <c r="M91" s="27"/>
      <c r="N91" s="27"/>
      <c r="O91" s="27"/>
      <c r="P91" s="27"/>
      <c r="Q91" s="27"/>
      <c r="R91" s="27"/>
      <c r="S91" s="27"/>
      <c r="T91" s="25"/>
      <c r="U91" s="25"/>
      <c r="V91" s="25"/>
      <c r="W91" s="27"/>
      <c r="X91" s="27"/>
      <c r="Y91" s="27"/>
      <c r="Z91" s="27"/>
      <c r="AA91" s="27"/>
      <c r="AB91" s="27"/>
      <c r="AC91" s="27"/>
      <c r="AD91" s="27"/>
      <c r="AF91" s="27"/>
      <c r="AG91" s="27"/>
      <c r="AJ91" s="27"/>
      <c r="AK91" s="27"/>
      <c r="AO91" s="25"/>
      <c r="AQ91" s="25"/>
      <c r="AR91" s="27"/>
      <c r="AS91" s="27"/>
      <c r="AT91" s="27"/>
      <c r="AU91" s="27"/>
      <c r="AV91" s="27">
        <v>300</v>
      </c>
      <c r="AY91" s="21"/>
      <c r="BA91" s="25"/>
      <c r="BB91" s="25"/>
      <c r="BC91" s="25"/>
      <c r="BD91" s="25"/>
      <c r="BE91" s="25"/>
      <c r="BF91" s="25"/>
      <c r="BG91" s="25"/>
      <c r="BH91" s="25"/>
      <c r="BI91" s="25"/>
      <c r="BJ91" s="25"/>
      <c r="BK91" s="25"/>
      <c r="BL91" s="25"/>
      <c r="BM91" s="25"/>
      <c r="BN91" s="25"/>
      <c r="BO91" s="25"/>
      <c r="BP91" s="25"/>
      <c r="BQ91" s="25"/>
      <c r="BR91" s="25"/>
      <c r="BS91" s="25"/>
      <c r="BT91" s="25">
        <f t="shared" si="8"/>
        <v>300</v>
      </c>
      <c r="BU91" s="28">
        <f t="shared" si="5"/>
        <v>300</v>
      </c>
      <c r="BV91" s="25">
        <f t="shared" si="6"/>
        <v>200</v>
      </c>
      <c r="BW91" s="25">
        <f t="shared" si="9"/>
        <v>60000</v>
      </c>
      <c r="BX91" s="25">
        <v>60000</v>
      </c>
      <c r="BY91" s="53">
        <v>240</v>
      </c>
      <c r="BZ91" s="22">
        <f t="shared" si="7"/>
        <v>72000</v>
      </c>
    </row>
    <row r="92" spans="1:81" ht="29.25" customHeight="1" x14ac:dyDescent="0.25">
      <c r="A92" s="23">
        <v>91</v>
      </c>
      <c r="B92" s="24" t="s">
        <v>264</v>
      </c>
      <c r="C92" s="21" t="s">
        <v>264</v>
      </c>
      <c r="D92" s="24" t="s">
        <v>265</v>
      </c>
      <c r="E92" s="23" t="s">
        <v>79</v>
      </c>
      <c r="F92" s="22"/>
      <c r="G92" s="22"/>
      <c r="H92" s="22"/>
      <c r="I92" s="22"/>
      <c r="J92" s="22"/>
      <c r="K92" s="22"/>
      <c r="L92" s="22"/>
      <c r="M92" s="22"/>
      <c r="N92" s="22"/>
      <c r="O92" s="22"/>
      <c r="P92" s="22"/>
      <c r="Q92" s="22"/>
      <c r="R92" s="22"/>
      <c r="S92" s="22"/>
      <c r="T92" s="25"/>
      <c r="U92" s="25"/>
      <c r="V92" s="25"/>
      <c r="W92" s="22"/>
      <c r="X92" s="22"/>
      <c r="Y92" s="22"/>
      <c r="Z92" s="22"/>
      <c r="AA92" s="22"/>
      <c r="AB92" s="22"/>
      <c r="AC92" s="22"/>
      <c r="AD92" s="22"/>
      <c r="AG92" s="22"/>
      <c r="AJ92" s="22"/>
      <c r="AK92" s="22">
        <v>50</v>
      </c>
      <c r="AO92" s="25"/>
      <c r="AQ92" s="25"/>
      <c r="AR92" s="27"/>
      <c r="AS92" s="27"/>
      <c r="AT92" s="27"/>
      <c r="BA92" s="25"/>
      <c r="BB92" s="25"/>
      <c r="BC92" s="25"/>
      <c r="BD92" s="25"/>
      <c r="BE92" s="25"/>
      <c r="BF92" s="25"/>
      <c r="BG92" s="25"/>
      <c r="BH92" s="25"/>
      <c r="BI92" s="25"/>
      <c r="BJ92" s="25"/>
      <c r="BK92" s="25"/>
      <c r="BL92" s="25"/>
      <c r="BM92" s="25"/>
      <c r="BN92" s="25"/>
      <c r="BO92" s="25"/>
      <c r="BP92" s="25"/>
      <c r="BQ92" s="25"/>
      <c r="BR92" s="25"/>
      <c r="BS92" s="25"/>
      <c r="BT92" s="25">
        <f t="shared" si="8"/>
        <v>50</v>
      </c>
      <c r="BU92" s="28">
        <f t="shared" si="5"/>
        <v>50</v>
      </c>
      <c r="BV92" s="25">
        <f t="shared" si="6"/>
        <v>4166.666666666667</v>
      </c>
      <c r="BW92" s="25">
        <f t="shared" si="9"/>
        <v>208333.33333333334</v>
      </c>
      <c r="BX92" s="25">
        <v>208333.34</v>
      </c>
      <c r="BY92" s="22">
        <v>5000</v>
      </c>
      <c r="BZ92" s="22">
        <f t="shared" si="7"/>
        <v>250000</v>
      </c>
    </row>
    <row r="93" spans="1:81" ht="29.25" customHeight="1" x14ac:dyDescent="0.25">
      <c r="A93" s="29">
        <v>92</v>
      </c>
      <c r="B93" s="24" t="s">
        <v>266</v>
      </c>
      <c r="C93" s="21" t="s">
        <v>266</v>
      </c>
      <c r="D93" s="24" t="s">
        <v>267</v>
      </c>
      <c r="E93" s="23" t="s">
        <v>79</v>
      </c>
      <c r="F93" s="22"/>
      <c r="G93" s="22"/>
      <c r="H93" s="22"/>
      <c r="I93" s="22"/>
      <c r="J93" s="22"/>
      <c r="K93" s="22"/>
      <c r="L93" s="22"/>
      <c r="M93" s="22"/>
      <c r="N93" s="22"/>
      <c r="O93" s="22"/>
      <c r="P93" s="22"/>
      <c r="Q93" s="22"/>
      <c r="R93" s="22"/>
      <c r="S93" s="22"/>
      <c r="T93" s="25"/>
      <c r="U93" s="25"/>
      <c r="V93" s="25"/>
      <c r="W93" s="22"/>
      <c r="X93" s="22"/>
      <c r="Y93" s="22"/>
      <c r="Z93" s="22"/>
      <c r="AA93" s="22"/>
      <c r="AB93" s="22"/>
      <c r="AC93" s="22"/>
      <c r="AD93" s="22"/>
      <c r="AG93" s="22"/>
      <c r="AJ93" s="22"/>
      <c r="AK93" s="22">
        <v>45</v>
      </c>
      <c r="AO93" s="25"/>
      <c r="AQ93" s="25"/>
      <c r="AR93" s="27"/>
      <c r="AS93" s="27"/>
      <c r="AT93" s="27"/>
      <c r="BA93" s="25"/>
      <c r="BB93" s="25"/>
      <c r="BC93" s="25"/>
      <c r="BD93" s="25"/>
      <c r="BE93" s="25"/>
      <c r="BF93" s="25"/>
      <c r="BG93" s="25"/>
      <c r="BH93" s="25"/>
      <c r="BI93" s="25"/>
      <c r="BJ93" s="25"/>
      <c r="BK93" s="25"/>
      <c r="BL93" s="25"/>
      <c r="BM93" s="25"/>
      <c r="BN93" s="25"/>
      <c r="BO93" s="25"/>
      <c r="BP93" s="25"/>
      <c r="BQ93" s="25"/>
      <c r="BR93" s="25"/>
      <c r="BS93" s="25"/>
      <c r="BT93" s="25">
        <f t="shared" si="8"/>
        <v>45</v>
      </c>
      <c r="BU93" s="28">
        <f t="shared" si="5"/>
        <v>45</v>
      </c>
      <c r="BV93" s="25">
        <f t="shared" si="6"/>
        <v>3333.3333333333335</v>
      </c>
      <c r="BW93" s="25">
        <f t="shared" si="9"/>
        <v>150000</v>
      </c>
      <c r="BX93" s="25">
        <v>150000</v>
      </c>
      <c r="BY93" s="22">
        <v>4000</v>
      </c>
      <c r="BZ93" s="22">
        <f t="shared" si="7"/>
        <v>180000</v>
      </c>
    </row>
    <row r="94" spans="1:81" ht="29.25" customHeight="1" x14ac:dyDescent="0.25">
      <c r="A94" s="23">
        <v>93</v>
      </c>
      <c r="B94" s="30" t="s">
        <v>268</v>
      </c>
      <c r="C94" s="25" t="s">
        <v>268</v>
      </c>
      <c r="D94" s="30" t="s">
        <v>269</v>
      </c>
      <c r="E94" s="29" t="s">
        <v>79</v>
      </c>
      <c r="F94" s="25"/>
      <c r="G94" s="25"/>
      <c r="H94" s="25"/>
      <c r="I94" s="25"/>
      <c r="J94" s="25"/>
      <c r="K94" s="25"/>
      <c r="L94" s="25"/>
      <c r="M94" s="25"/>
      <c r="N94" s="25"/>
      <c r="O94" s="25"/>
      <c r="P94" s="25"/>
      <c r="Q94" s="25"/>
      <c r="R94" s="25"/>
      <c r="S94" s="25"/>
      <c r="T94" s="25"/>
      <c r="U94" s="25"/>
      <c r="V94" s="25"/>
      <c r="W94" s="25"/>
      <c r="X94" s="25"/>
      <c r="Y94" s="25"/>
      <c r="Z94" s="25">
        <v>100</v>
      </c>
      <c r="AA94" s="27"/>
      <c r="AB94" s="25"/>
      <c r="AO94" s="25"/>
      <c r="AQ94" s="25"/>
      <c r="AR94" s="27"/>
      <c r="AS94" s="27"/>
      <c r="AT94" s="27"/>
      <c r="BA94" s="25"/>
      <c r="BB94" s="25"/>
      <c r="BC94" s="25"/>
      <c r="BD94" s="25"/>
      <c r="BE94" s="25"/>
      <c r="BF94" s="25"/>
      <c r="BG94" s="25"/>
      <c r="BH94" s="25"/>
      <c r="BI94" s="25"/>
      <c r="BJ94" s="25"/>
      <c r="BK94" s="25"/>
      <c r="BL94" s="25"/>
      <c r="BM94" s="25"/>
      <c r="BN94" s="25"/>
      <c r="BO94" s="25"/>
      <c r="BP94" s="25"/>
      <c r="BQ94" s="25"/>
      <c r="BR94" s="25"/>
      <c r="BS94" s="25"/>
      <c r="BT94" s="25">
        <f t="shared" si="8"/>
        <v>100</v>
      </c>
      <c r="BU94" s="28">
        <f t="shared" si="5"/>
        <v>100</v>
      </c>
      <c r="BV94" s="25">
        <f t="shared" si="6"/>
        <v>679.5</v>
      </c>
      <c r="BW94" s="25">
        <f t="shared" si="9"/>
        <v>67950</v>
      </c>
      <c r="BX94" s="25">
        <v>67950</v>
      </c>
      <c r="BY94" s="45">
        <v>815.4</v>
      </c>
      <c r="BZ94" s="22">
        <f t="shared" si="7"/>
        <v>81540</v>
      </c>
    </row>
    <row r="95" spans="1:81" ht="29.25" customHeight="1" x14ac:dyDescent="0.25">
      <c r="A95" s="29">
        <v>94</v>
      </c>
      <c r="B95" s="70" t="s">
        <v>270</v>
      </c>
      <c r="C95" s="22" t="s">
        <v>270</v>
      </c>
      <c r="D95" s="24" t="s">
        <v>271</v>
      </c>
      <c r="E95" s="23" t="s">
        <v>82</v>
      </c>
      <c r="F95" s="22"/>
      <c r="G95" s="22"/>
      <c r="H95" s="22"/>
      <c r="I95" s="22"/>
      <c r="J95" s="22"/>
      <c r="K95" s="22"/>
      <c r="L95" s="22"/>
      <c r="M95" s="22"/>
      <c r="N95" s="22"/>
      <c r="O95" s="22"/>
      <c r="P95" s="22"/>
      <c r="Q95" s="22"/>
      <c r="R95" s="22"/>
      <c r="S95" s="22"/>
      <c r="T95" s="25"/>
      <c r="U95" s="25"/>
      <c r="V95" s="25"/>
      <c r="W95" s="22"/>
      <c r="X95" s="22"/>
      <c r="Y95" s="22"/>
      <c r="Z95" s="22"/>
      <c r="AA95" s="22"/>
      <c r="AB95" s="22"/>
      <c r="AC95" s="22"/>
      <c r="AD95" s="22"/>
      <c r="AG95" s="22"/>
      <c r="AJ95" s="22"/>
      <c r="AK95" s="22">
        <v>75</v>
      </c>
      <c r="AO95" s="25"/>
      <c r="AQ95" s="25"/>
      <c r="AR95" s="27"/>
      <c r="AS95" s="27"/>
      <c r="AT95" s="27"/>
      <c r="BA95" s="25"/>
      <c r="BB95" s="25"/>
      <c r="BC95" s="25"/>
      <c r="BD95" s="25"/>
      <c r="BE95" s="25"/>
      <c r="BF95" s="25"/>
      <c r="BG95" s="25"/>
      <c r="BH95" s="25"/>
      <c r="BI95" s="25"/>
      <c r="BJ95" s="25"/>
      <c r="BK95" s="25"/>
      <c r="BL95" s="25"/>
      <c r="BM95" s="25"/>
      <c r="BN95" s="25"/>
      <c r="BO95" s="25"/>
      <c r="BP95" s="25"/>
      <c r="BQ95" s="25"/>
      <c r="BR95" s="25"/>
      <c r="BS95" s="25"/>
      <c r="BT95" s="25">
        <f t="shared" si="8"/>
        <v>75</v>
      </c>
      <c r="BU95" s="28">
        <f t="shared" si="5"/>
        <v>75</v>
      </c>
      <c r="BV95" s="25">
        <f t="shared" si="6"/>
        <v>4166.666666666667</v>
      </c>
      <c r="BW95" s="25">
        <f t="shared" si="9"/>
        <v>312500</v>
      </c>
      <c r="BX95" s="25">
        <v>312500</v>
      </c>
      <c r="BY95" s="22">
        <v>5000</v>
      </c>
      <c r="BZ95" s="22">
        <f t="shared" si="7"/>
        <v>375000</v>
      </c>
    </row>
    <row r="96" spans="1:81" ht="29.25" customHeight="1" x14ac:dyDescent="0.25">
      <c r="A96" s="23">
        <v>95</v>
      </c>
      <c r="B96" s="24" t="s">
        <v>272</v>
      </c>
      <c r="C96" s="21" t="s">
        <v>272</v>
      </c>
      <c r="D96" s="24" t="s">
        <v>273</v>
      </c>
      <c r="E96" s="23" t="s">
        <v>82</v>
      </c>
      <c r="F96" s="22"/>
      <c r="G96" s="22"/>
      <c r="H96" s="22"/>
      <c r="I96" s="22"/>
      <c r="J96" s="22"/>
      <c r="K96" s="22"/>
      <c r="L96" s="22"/>
      <c r="M96" s="22"/>
      <c r="N96" s="22"/>
      <c r="O96" s="22"/>
      <c r="P96" s="22"/>
      <c r="Q96" s="22"/>
      <c r="R96" s="22"/>
      <c r="S96" s="22"/>
      <c r="T96" s="25"/>
      <c r="U96" s="25"/>
      <c r="V96" s="25"/>
      <c r="W96" s="22"/>
      <c r="X96" s="22"/>
      <c r="Y96" s="22"/>
      <c r="Z96" s="22"/>
      <c r="AA96" s="22"/>
      <c r="AB96" s="22"/>
      <c r="AC96" s="22"/>
      <c r="AD96" s="22"/>
      <c r="AG96" s="22"/>
      <c r="AJ96" s="22"/>
      <c r="AK96" s="22">
        <v>400</v>
      </c>
      <c r="AO96" s="25"/>
      <c r="AQ96" s="25"/>
      <c r="AR96" s="27"/>
      <c r="AS96" s="27"/>
      <c r="AT96" s="27"/>
      <c r="BA96" s="25"/>
      <c r="BB96" s="25"/>
      <c r="BC96" s="25"/>
      <c r="BD96" s="25"/>
      <c r="BE96" s="25"/>
      <c r="BF96" s="25"/>
      <c r="BG96" s="25"/>
      <c r="BH96" s="25"/>
      <c r="BI96" s="25"/>
      <c r="BJ96" s="25"/>
      <c r="BK96" s="25"/>
      <c r="BL96" s="25"/>
      <c r="BM96" s="25"/>
      <c r="BN96" s="25"/>
      <c r="BO96" s="25"/>
      <c r="BP96" s="25"/>
      <c r="BQ96" s="25"/>
      <c r="BR96" s="25"/>
      <c r="BS96" s="25"/>
      <c r="BT96" s="25">
        <f t="shared" si="8"/>
        <v>400</v>
      </c>
      <c r="BU96" s="28">
        <f t="shared" si="5"/>
        <v>400</v>
      </c>
      <c r="BV96" s="25">
        <f t="shared" si="6"/>
        <v>225</v>
      </c>
      <c r="BW96" s="25">
        <f t="shared" si="9"/>
        <v>90000</v>
      </c>
      <c r="BX96" s="25">
        <v>90000</v>
      </c>
      <c r="BY96" s="22">
        <v>270</v>
      </c>
      <c r="BZ96" s="22">
        <f t="shared" si="7"/>
        <v>108000</v>
      </c>
    </row>
    <row r="97" spans="1:83" ht="29.25" customHeight="1" x14ac:dyDescent="0.25">
      <c r="A97" s="29">
        <v>96</v>
      </c>
      <c r="B97" s="30" t="s">
        <v>274</v>
      </c>
      <c r="C97" s="25" t="s">
        <v>274</v>
      </c>
      <c r="D97" s="30" t="s">
        <v>275</v>
      </c>
      <c r="E97" s="29" t="s">
        <v>79</v>
      </c>
      <c r="F97" s="25"/>
      <c r="G97" s="25"/>
      <c r="H97" s="25"/>
      <c r="I97" s="25"/>
      <c r="J97" s="25"/>
      <c r="K97" s="25"/>
      <c r="L97" s="25"/>
      <c r="M97" s="25"/>
      <c r="N97" s="25"/>
      <c r="O97" s="25"/>
      <c r="P97" s="25"/>
      <c r="Q97" s="25"/>
      <c r="R97" s="25"/>
      <c r="S97" s="25"/>
      <c r="T97" s="25"/>
      <c r="U97" s="25"/>
      <c r="V97" s="25"/>
      <c r="W97" s="25"/>
      <c r="X97" s="25"/>
      <c r="Y97" s="25"/>
      <c r="Z97" s="25"/>
      <c r="AA97" s="25"/>
      <c r="AB97" s="25"/>
      <c r="AF97" s="25"/>
      <c r="AG97" s="25"/>
      <c r="AJ97" s="25">
        <v>150</v>
      </c>
      <c r="AO97" s="25"/>
      <c r="AQ97" s="25"/>
      <c r="AR97" s="27"/>
      <c r="AS97" s="27"/>
      <c r="AT97" s="27"/>
      <c r="BA97" s="25"/>
      <c r="BB97" s="25"/>
      <c r="BC97" s="25"/>
      <c r="BD97" s="25"/>
      <c r="BE97" s="25"/>
      <c r="BF97" s="25"/>
      <c r="BG97" s="25"/>
      <c r="BH97" s="25"/>
      <c r="BI97" s="25"/>
      <c r="BJ97" s="25"/>
      <c r="BK97" s="25"/>
      <c r="BL97" s="25"/>
      <c r="BM97" s="25"/>
      <c r="BN97" s="25"/>
      <c r="BO97" s="25"/>
      <c r="BP97" s="25"/>
      <c r="BQ97" s="25"/>
      <c r="BR97" s="25"/>
      <c r="BS97" s="25"/>
      <c r="BT97" s="25">
        <f t="shared" si="8"/>
        <v>150</v>
      </c>
      <c r="BU97" s="28">
        <f t="shared" si="5"/>
        <v>150</v>
      </c>
      <c r="BV97" s="25">
        <f t="shared" si="6"/>
        <v>70</v>
      </c>
      <c r="BW97" s="25">
        <f t="shared" si="9"/>
        <v>10500</v>
      </c>
      <c r="BX97" s="25">
        <v>10500</v>
      </c>
      <c r="BY97" s="60">
        <v>84</v>
      </c>
      <c r="BZ97" s="22">
        <f t="shared" si="7"/>
        <v>12600</v>
      </c>
    </row>
    <row r="98" spans="1:83" ht="29.25" customHeight="1" x14ac:dyDescent="0.25">
      <c r="A98" s="23">
        <v>97</v>
      </c>
      <c r="B98" s="24" t="s">
        <v>276</v>
      </c>
      <c r="C98" s="21" t="s">
        <v>276</v>
      </c>
      <c r="D98" s="24" t="s">
        <v>277</v>
      </c>
      <c r="E98" s="23" t="s">
        <v>82</v>
      </c>
      <c r="F98" s="22"/>
      <c r="G98" s="22"/>
      <c r="H98" s="22"/>
      <c r="I98" s="22"/>
      <c r="J98" s="22"/>
      <c r="K98" s="22"/>
      <c r="L98" s="22"/>
      <c r="M98" s="22"/>
      <c r="N98" s="22"/>
      <c r="O98" s="22"/>
      <c r="P98" s="22"/>
      <c r="Q98" s="22"/>
      <c r="R98" s="22"/>
      <c r="S98" s="22"/>
      <c r="T98" s="25"/>
      <c r="U98" s="25"/>
      <c r="V98" s="25"/>
      <c r="W98" s="22"/>
      <c r="X98" s="22"/>
      <c r="Y98" s="22"/>
      <c r="Z98" s="22"/>
      <c r="AA98" s="22"/>
      <c r="AB98" s="22"/>
      <c r="AC98" s="22"/>
      <c r="AD98" s="22"/>
      <c r="AG98" s="22"/>
      <c r="AJ98" s="22"/>
      <c r="AK98" s="22">
        <v>300</v>
      </c>
      <c r="AO98" s="25"/>
      <c r="AQ98" s="25"/>
      <c r="AR98" s="27"/>
      <c r="AS98" s="27"/>
      <c r="AT98" s="27"/>
      <c r="BA98" s="25"/>
      <c r="BB98" s="25"/>
      <c r="BC98" s="25"/>
      <c r="BD98" s="25"/>
      <c r="BE98" s="25"/>
      <c r="BF98" s="25"/>
      <c r="BG98" s="25"/>
      <c r="BH98" s="25"/>
      <c r="BI98" s="25"/>
      <c r="BJ98" s="25"/>
      <c r="BK98" s="25"/>
      <c r="BL98" s="25"/>
      <c r="BM98" s="25"/>
      <c r="BN98" s="25"/>
      <c r="BO98" s="25"/>
      <c r="BP98" s="25"/>
      <c r="BQ98" s="25"/>
      <c r="BR98" s="25"/>
      <c r="BS98" s="25"/>
      <c r="BT98" s="25">
        <f t="shared" si="8"/>
        <v>300</v>
      </c>
      <c r="BU98" s="28">
        <f t="shared" si="5"/>
        <v>300</v>
      </c>
      <c r="BV98" s="25">
        <f t="shared" si="6"/>
        <v>125</v>
      </c>
      <c r="BW98" s="25">
        <f t="shared" si="9"/>
        <v>37500</v>
      </c>
      <c r="BX98" s="25">
        <v>37500</v>
      </c>
      <c r="BY98" s="22">
        <v>150</v>
      </c>
      <c r="BZ98" s="22">
        <f t="shared" si="7"/>
        <v>45000</v>
      </c>
    </row>
    <row r="99" spans="1:83" ht="29.25" customHeight="1" x14ac:dyDescent="0.25">
      <c r="A99" s="29">
        <v>98</v>
      </c>
      <c r="B99" s="30" t="s">
        <v>278</v>
      </c>
      <c r="C99" s="25" t="s">
        <v>278</v>
      </c>
      <c r="D99" s="24" t="s">
        <v>279</v>
      </c>
      <c r="E99" s="71" t="s">
        <v>82</v>
      </c>
      <c r="F99" s="72"/>
      <c r="G99" s="27"/>
      <c r="H99" s="27"/>
      <c r="I99" s="27"/>
      <c r="J99" s="27"/>
      <c r="K99" s="27"/>
      <c r="L99" s="27"/>
      <c r="M99" s="27"/>
      <c r="N99" s="27"/>
      <c r="O99" s="55"/>
      <c r="P99" s="55"/>
      <c r="Q99" s="55"/>
      <c r="R99" s="55"/>
      <c r="S99" s="55"/>
      <c r="T99" s="25"/>
      <c r="U99" s="25"/>
      <c r="V99" s="25"/>
      <c r="W99" s="55"/>
      <c r="X99" s="55"/>
      <c r="Y99" s="55"/>
      <c r="Z99" s="55"/>
      <c r="AA99" s="55"/>
      <c r="AB99" s="55"/>
      <c r="AH99" s="22"/>
      <c r="AI99" s="22"/>
      <c r="AM99" s="22">
        <v>190</v>
      </c>
      <c r="AO99" s="25"/>
      <c r="AP99" s="22"/>
      <c r="AQ99" s="25"/>
      <c r="AR99" s="22"/>
      <c r="AS99" s="22"/>
      <c r="AT99" s="22"/>
      <c r="AY99" s="21"/>
      <c r="BA99" s="25"/>
      <c r="BB99" s="25"/>
      <c r="BC99" s="25"/>
      <c r="BD99" s="25"/>
      <c r="BE99" s="25"/>
      <c r="BF99" s="25"/>
      <c r="BG99" s="25"/>
      <c r="BH99" s="25"/>
      <c r="BI99" s="25"/>
      <c r="BJ99" s="25"/>
      <c r="BK99" s="25"/>
      <c r="BL99" s="25"/>
      <c r="BM99" s="25"/>
      <c r="BN99" s="25"/>
      <c r="BO99" s="25"/>
      <c r="BP99" s="25"/>
      <c r="BQ99" s="25"/>
      <c r="BR99" s="25"/>
      <c r="BS99" s="25"/>
      <c r="BT99" s="25">
        <f t="shared" si="8"/>
        <v>190</v>
      </c>
      <c r="BU99" s="28">
        <f t="shared" si="5"/>
        <v>190</v>
      </c>
      <c r="BV99" s="25">
        <f t="shared" si="6"/>
        <v>250</v>
      </c>
      <c r="BW99" s="25">
        <f t="shared" si="9"/>
        <v>47500</v>
      </c>
      <c r="BX99" s="25">
        <v>47500</v>
      </c>
      <c r="BY99" s="33">
        <v>300</v>
      </c>
      <c r="BZ99" s="22">
        <f t="shared" si="7"/>
        <v>57000</v>
      </c>
      <c r="CA99" s="52"/>
    </row>
    <row r="100" spans="1:83" ht="29.25" customHeight="1" x14ac:dyDescent="0.25">
      <c r="A100" s="23">
        <v>99</v>
      </c>
      <c r="B100" s="30" t="s">
        <v>280</v>
      </c>
      <c r="C100" s="25" t="s">
        <v>280</v>
      </c>
      <c r="D100" s="30" t="s">
        <v>281</v>
      </c>
      <c r="E100" s="29" t="s">
        <v>82</v>
      </c>
      <c r="F100" s="25"/>
      <c r="G100" s="25"/>
      <c r="H100" s="25"/>
      <c r="I100" s="25"/>
      <c r="J100" s="25"/>
      <c r="K100" s="25"/>
      <c r="L100" s="25"/>
      <c r="M100" s="25"/>
      <c r="N100" s="25"/>
      <c r="O100" s="25"/>
      <c r="P100" s="25"/>
      <c r="Q100" s="25"/>
      <c r="R100" s="25"/>
      <c r="S100" s="25"/>
      <c r="T100" s="25"/>
      <c r="U100" s="25"/>
      <c r="V100" s="25"/>
      <c r="W100" s="25"/>
      <c r="X100" s="25"/>
      <c r="Y100" s="25"/>
      <c r="Z100" s="25"/>
      <c r="AA100" s="25"/>
      <c r="AB100" s="25">
        <v>52</v>
      </c>
      <c r="AK100" s="22">
        <v>4500</v>
      </c>
      <c r="AO100" s="25"/>
      <c r="AQ100" s="25"/>
      <c r="AR100" s="27"/>
      <c r="AS100" s="27"/>
      <c r="AT100" s="27"/>
      <c r="BA100" s="25"/>
      <c r="BB100" s="25"/>
      <c r="BC100" s="25"/>
      <c r="BD100" s="25"/>
      <c r="BE100" s="25"/>
      <c r="BF100" s="25"/>
      <c r="BG100" s="25"/>
      <c r="BH100" s="25"/>
      <c r="BI100" s="25"/>
      <c r="BJ100" s="25"/>
      <c r="BK100" s="25"/>
      <c r="BL100" s="25"/>
      <c r="BM100" s="25"/>
      <c r="BN100" s="25"/>
      <c r="BO100" s="25"/>
      <c r="BP100" s="25"/>
      <c r="BQ100" s="25"/>
      <c r="BR100" s="25"/>
      <c r="BS100" s="25"/>
      <c r="BT100" s="25">
        <f t="shared" si="8"/>
        <v>4552</v>
      </c>
      <c r="BU100" s="28">
        <f t="shared" si="5"/>
        <v>4552</v>
      </c>
      <c r="BV100" s="25">
        <f t="shared" si="6"/>
        <v>794.53333333333342</v>
      </c>
      <c r="BW100" s="25">
        <f t="shared" si="9"/>
        <v>3616715.7333333339</v>
      </c>
      <c r="BX100" s="25">
        <v>3616715.7399999998</v>
      </c>
      <c r="BY100" s="36">
        <v>953.44</v>
      </c>
      <c r="BZ100" s="22">
        <f t="shared" si="7"/>
        <v>4340058.88</v>
      </c>
    </row>
    <row r="101" spans="1:83" ht="29.25" customHeight="1" x14ac:dyDescent="0.25">
      <c r="A101" s="29">
        <v>100</v>
      </c>
      <c r="B101" s="30" t="s">
        <v>282</v>
      </c>
      <c r="C101" s="25" t="s">
        <v>282</v>
      </c>
      <c r="D101" s="30" t="s">
        <v>283</v>
      </c>
      <c r="E101" s="29" t="s">
        <v>284</v>
      </c>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D101" s="25">
        <v>250</v>
      </c>
      <c r="AO101" s="25"/>
      <c r="AQ101" s="25"/>
      <c r="AR101" s="27"/>
      <c r="AS101" s="27"/>
      <c r="AT101" s="27"/>
      <c r="BA101" s="25"/>
      <c r="BB101" s="25"/>
      <c r="BC101" s="25"/>
      <c r="BD101" s="25"/>
      <c r="BE101" s="25"/>
      <c r="BF101" s="25"/>
      <c r="BG101" s="25"/>
      <c r="BH101" s="25"/>
      <c r="BI101" s="25"/>
      <c r="BJ101" s="25"/>
      <c r="BK101" s="25"/>
      <c r="BL101" s="25"/>
      <c r="BM101" s="25"/>
      <c r="BN101" s="25"/>
      <c r="BO101" s="25"/>
      <c r="BP101" s="25"/>
      <c r="BQ101" s="25"/>
      <c r="BR101" s="25"/>
      <c r="BS101" s="25"/>
      <c r="BT101" s="25">
        <f t="shared" si="8"/>
        <v>250</v>
      </c>
      <c r="BU101" s="28">
        <f t="shared" si="5"/>
        <v>250</v>
      </c>
      <c r="BV101" s="25">
        <f t="shared" si="6"/>
        <v>604.16666666666674</v>
      </c>
      <c r="BW101" s="25">
        <f t="shared" si="9"/>
        <v>151041.66666666669</v>
      </c>
      <c r="BX101" s="25">
        <v>151041.67000000001</v>
      </c>
      <c r="BY101" s="23">
        <v>725</v>
      </c>
      <c r="BZ101" s="22">
        <f t="shared" si="7"/>
        <v>181250</v>
      </c>
      <c r="CB101" s="20" t="e">
        <f>CA101+#REF!</f>
        <v>#REF!</v>
      </c>
    </row>
    <row r="102" spans="1:83" ht="29.25" customHeight="1" x14ac:dyDescent="0.25">
      <c r="A102" s="23">
        <v>101</v>
      </c>
      <c r="B102" s="24" t="s">
        <v>285</v>
      </c>
      <c r="C102" s="21" t="s">
        <v>285</v>
      </c>
      <c r="D102" s="24" t="s">
        <v>286</v>
      </c>
      <c r="E102" s="23" t="s">
        <v>82</v>
      </c>
      <c r="F102" s="22"/>
      <c r="G102" s="22"/>
      <c r="H102" s="22"/>
      <c r="I102" s="22"/>
      <c r="J102" s="22"/>
      <c r="K102" s="22"/>
      <c r="L102" s="22"/>
      <c r="M102" s="22"/>
      <c r="N102" s="22"/>
      <c r="O102" s="22"/>
      <c r="P102" s="22"/>
      <c r="Q102" s="22"/>
      <c r="R102" s="22"/>
      <c r="S102" s="22"/>
      <c r="T102" s="25"/>
      <c r="U102" s="25"/>
      <c r="V102" s="25"/>
      <c r="W102" s="22"/>
      <c r="X102" s="22"/>
      <c r="Y102" s="22"/>
      <c r="Z102" s="22"/>
      <c r="AA102" s="22"/>
      <c r="AB102" s="22"/>
      <c r="AC102" s="22"/>
      <c r="AD102" s="22"/>
      <c r="AG102" s="22"/>
      <c r="AJ102" s="22"/>
      <c r="AK102" s="22">
        <v>25</v>
      </c>
      <c r="AO102" s="25"/>
      <c r="AQ102" s="25"/>
      <c r="AR102" s="27"/>
      <c r="AS102" s="27"/>
      <c r="AT102" s="27"/>
      <c r="BA102" s="25"/>
      <c r="BB102" s="25"/>
      <c r="BC102" s="25"/>
      <c r="BD102" s="25"/>
      <c r="BE102" s="25"/>
      <c r="BF102" s="25"/>
      <c r="BG102" s="25"/>
      <c r="BH102" s="25"/>
      <c r="BI102" s="25"/>
      <c r="BJ102" s="25"/>
      <c r="BK102" s="25"/>
      <c r="BL102" s="25"/>
      <c r="BM102" s="25"/>
      <c r="BN102" s="25"/>
      <c r="BO102" s="25"/>
      <c r="BP102" s="25"/>
      <c r="BQ102" s="25"/>
      <c r="BR102" s="25"/>
      <c r="BS102" s="25"/>
      <c r="BT102" s="25">
        <f t="shared" si="8"/>
        <v>25</v>
      </c>
      <c r="BU102" s="28">
        <f t="shared" si="5"/>
        <v>25</v>
      </c>
      <c r="BV102" s="25">
        <f t="shared" si="6"/>
        <v>816.66666666666674</v>
      </c>
      <c r="BW102" s="25">
        <f t="shared" si="9"/>
        <v>20416.666666666668</v>
      </c>
      <c r="BX102" s="25">
        <v>20416.669999999998</v>
      </c>
      <c r="BY102" s="22">
        <v>980</v>
      </c>
      <c r="BZ102" s="22">
        <f t="shared" si="7"/>
        <v>24500</v>
      </c>
      <c r="CD102" s="67"/>
      <c r="CE102" s="73"/>
    </row>
    <row r="103" spans="1:83" s="74" customFormat="1" ht="29.25" customHeight="1" x14ac:dyDescent="0.25">
      <c r="A103" s="29">
        <v>102</v>
      </c>
      <c r="B103" s="30" t="s">
        <v>287</v>
      </c>
      <c r="C103" s="25" t="s">
        <v>287</v>
      </c>
      <c r="D103" s="30" t="s">
        <v>288</v>
      </c>
      <c r="E103" s="61" t="s">
        <v>289</v>
      </c>
      <c r="F103" s="27"/>
      <c r="G103" s="27"/>
      <c r="H103" s="27"/>
      <c r="I103" s="27"/>
      <c r="J103" s="27"/>
      <c r="K103" s="27"/>
      <c r="L103" s="27"/>
      <c r="M103" s="27"/>
      <c r="N103" s="27"/>
      <c r="O103" s="27"/>
      <c r="P103" s="27"/>
      <c r="Q103" s="27"/>
      <c r="R103" s="27"/>
      <c r="S103" s="27"/>
      <c r="T103" s="25"/>
      <c r="U103" s="25"/>
      <c r="V103" s="25"/>
      <c r="W103" s="27"/>
      <c r="X103" s="27"/>
      <c r="Y103" s="27"/>
      <c r="Z103" s="27"/>
      <c r="AA103" s="27"/>
      <c r="AB103" s="27"/>
      <c r="AC103" s="25">
        <v>50</v>
      </c>
      <c r="AD103" s="25"/>
      <c r="AE103" s="25"/>
      <c r="AF103" s="22"/>
      <c r="AG103" s="26"/>
      <c r="AH103" s="25"/>
      <c r="AI103" s="25"/>
      <c r="AJ103" s="25"/>
      <c r="AK103" s="22"/>
      <c r="AL103" s="25"/>
      <c r="AM103" s="25"/>
      <c r="AN103" s="26"/>
      <c r="AO103" s="25"/>
      <c r="AP103" s="25"/>
      <c r="AQ103" s="25"/>
      <c r="AR103" s="27"/>
      <c r="AS103" s="27"/>
      <c r="AT103" s="27"/>
      <c r="AU103" s="25"/>
      <c r="AV103" s="27"/>
      <c r="AW103" s="26"/>
      <c r="AX103" s="26"/>
      <c r="AY103" s="22"/>
      <c r="AZ103" s="25"/>
      <c r="BA103" s="25"/>
      <c r="BB103" s="25"/>
      <c r="BC103" s="25"/>
      <c r="BD103" s="25"/>
      <c r="BE103" s="25"/>
      <c r="BF103" s="25"/>
      <c r="BG103" s="25"/>
      <c r="BH103" s="25"/>
      <c r="BI103" s="25"/>
      <c r="BJ103" s="25"/>
      <c r="BK103" s="25"/>
      <c r="BL103" s="25"/>
      <c r="BM103" s="25"/>
      <c r="BN103" s="25"/>
      <c r="BO103" s="25"/>
      <c r="BP103" s="25"/>
      <c r="BQ103" s="25"/>
      <c r="BR103" s="25"/>
      <c r="BS103" s="25"/>
      <c r="BT103" s="25">
        <f t="shared" si="8"/>
        <v>50</v>
      </c>
      <c r="BU103" s="28">
        <f t="shared" si="5"/>
        <v>50</v>
      </c>
      <c r="BV103" s="25">
        <f t="shared" si="6"/>
        <v>16.666666666666668</v>
      </c>
      <c r="BW103" s="25">
        <f t="shared" si="9"/>
        <v>833.33333333333337</v>
      </c>
      <c r="BX103" s="25">
        <v>833.34</v>
      </c>
      <c r="BY103" s="57">
        <v>20</v>
      </c>
      <c r="BZ103" s="22">
        <f t="shared" si="7"/>
        <v>1000</v>
      </c>
      <c r="CA103" s="20"/>
      <c r="CB103" s="20"/>
      <c r="CC103" s="20"/>
      <c r="CD103" s="41"/>
      <c r="CE103" s="73"/>
    </row>
    <row r="104" spans="1:83" s="74" customFormat="1" ht="29.25" customHeight="1" x14ac:dyDescent="0.25">
      <c r="A104" s="23">
        <v>103</v>
      </c>
      <c r="B104" s="30" t="s">
        <v>290</v>
      </c>
      <c r="C104" s="25" t="s">
        <v>290</v>
      </c>
      <c r="D104" s="30" t="s">
        <v>290</v>
      </c>
      <c r="E104" s="29" t="s">
        <v>82</v>
      </c>
      <c r="F104" s="25"/>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3"/>
      <c r="AG104" s="34"/>
      <c r="AH104" s="31"/>
      <c r="AI104" s="31"/>
      <c r="AJ104" s="31"/>
      <c r="AK104" s="33"/>
      <c r="AL104" s="31"/>
      <c r="AM104" s="31"/>
      <c r="AN104" s="34"/>
      <c r="AO104" s="34"/>
      <c r="AP104" s="31"/>
      <c r="AQ104" s="31"/>
      <c r="AR104" s="33"/>
      <c r="AS104" s="33"/>
      <c r="AT104" s="33"/>
      <c r="AU104" s="31"/>
      <c r="AV104" s="35"/>
      <c r="AW104" s="34"/>
      <c r="AX104" s="34"/>
      <c r="AY104" s="33"/>
      <c r="AZ104" s="31"/>
      <c r="BA104" s="31"/>
      <c r="BB104" s="31"/>
      <c r="BC104" s="31"/>
      <c r="BD104" s="31"/>
      <c r="BE104" s="31"/>
      <c r="BF104" s="31"/>
      <c r="BG104" s="31"/>
      <c r="BH104" s="31"/>
      <c r="BI104" s="31"/>
      <c r="BJ104" s="31"/>
      <c r="BK104" s="42">
        <v>3</v>
      </c>
      <c r="BL104" s="42"/>
      <c r="BM104" s="42"/>
      <c r="BN104" s="42"/>
      <c r="BO104" s="42"/>
      <c r="BP104" s="42"/>
      <c r="BQ104" s="42"/>
      <c r="BR104" s="42"/>
      <c r="BS104" s="42"/>
      <c r="BT104" s="25">
        <f t="shared" si="8"/>
        <v>3</v>
      </c>
      <c r="BU104" s="28">
        <f t="shared" si="5"/>
        <v>3</v>
      </c>
      <c r="BV104" s="25">
        <f t="shared" si="6"/>
        <v>129.16666666666669</v>
      </c>
      <c r="BW104" s="25">
        <f t="shared" si="9"/>
        <v>387.50000000000006</v>
      </c>
      <c r="BX104" s="25">
        <v>387.5</v>
      </c>
      <c r="BY104" s="43">
        <v>155</v>
      </c>
      <c r="BZ104" s="22">
        <f t="shared" si="7"/>
        <v>465</v>
      </c>
      <c r="CA104" s="20" t="s">
        <v>83</v>
      </c>
      <c r="CB104" s="20"/>
      <c r="CC104" s="20"/>
      <c r="CD104" s="67"/>
      <c r="CE104" s="73"/>
    </row>
    <row r="105" spans="1:83" s="74" customFormat="1" ht="29.25" customHeight="1" x14ac:dyDescent="0.25">
      <c r="A105" s="29">
        <v>104</v>
      </c>
      <c r="B105" s="30" t="s">
        <v>291</v>
      </c>
      <c r="C105" s="25" t="s">
        <v>291</v>
      </c>
      <c r="D105" s="30" t="s">
        <v>292</v>
      </c>
      <c r="E105" s="56" t="s">
        <v>82</v>
      </c>
      <c r="F105" s="55"/>
      <c r="G105" s="27"/>
      <c r="H105" s="27"/>
      <c r="I105" s="27"/>
      <c r="J105" s="27"/>
      <c r="K105" s="27"/>
      <c r="L105" s="27"/>
      <c r="M105" s="27"/>
      <c r="N105" s="27"/>
      <c r="O105" s="27"/>
      <c r="P105" s="27"/>
      <c r="Q105" s="27"/>
      <c r="R105" s="27"/>
      <c r="S105" s="55">
        <v>500</v>
      </c>
      <c r="T105" s="25"/>
      <c r="U105" s="25"/>
      <c r="V105" s="25"/>
      <c r="W105" s="25"/>
      <c r="X105" s="25"/>
      <c r="Y105" s="25"/>
      <c r="Z105" s="25"/>
      <c r="AA105" s="27"/>
      <c r="AB105" s="25"/>
      <c r="AC105" s="25"/>
      <c r="AD105" s="25"/>
      <c r="AE105" s="25"/>
      <c r="AF105" s="22"/>
      <c r="AG105" s="26"/>
      <c r="AH105" s="25"/>
      <c r="AI105" s="25"/>
      <c r="AJ105" s="25"/>
      <c r="AK105" s="22"/>
      <c r="AL105" s="25"/>
      <c r="AM105" s="25"/>
      <c r="AN105" s="26"/>
      <c r="AO105" s="25"/>
      <c r="AP105" s="25"/>
      <c r="AQ105" s="25"/>
      <c r="AR105" s="27"/>
      <c r="AS105" s="27"/>
      <c r="AT105" s="27"/>
      <c r="AU105" s="25"/>
      <c r="AV105" s="27"/>
      <c r="AW105" s="26"/>
      <c r="AX105" s="26"/>
      <c r="AY105" s="22"/>
      <c r="AZ105" s="25"/>
      <c r="BA105" s="25"/>
      <c r="BB105" s="25"/>
      <c r="BC105" s="25"/>
      <c r="BD105" s="25"/>
      <c r="BE105" s="25"/>
      <c r="BF105" s="25"/>
      <c r="BG105" s="25"/>
      <c r="BH105" s="25"/>
      <c r="BI105" s="25"/>
      <c r="BJ105" s="25"/>
      <c r="BK105" s="25"/>
      <c r="BL105" s="25"/>
      <c r="BM105" s="25"/>
      <c r="BN105" s="25"/>
      <c r="BO105" s="25"/>
      <c r="BP105" s="25"/>
      <c r="BQ105" s="25"/>
      <c r="BR105" s="25"/>
      <c r="BS105" s="25"/>
      <c r="BT105" s="25">
        <f t="shared" si="8"/>
        <v>500</v>
      </c>
      <c r="BU105" s="28">
        <f t="shared" si="5"/>
        <v>500</v>
      </c>
      <c r="BV105" s="25">
        <f t="shared" si="6"/>
        <v>3.4166666666666665</v>
      </c>
      <c r="BW105" s="25">
        <f t="shared" si="9"/>
        <v>1708.3333333333333</v>
      </c>
      <c r="BX105" s="25">
        <v>1708.34</v>
      </c>
      <c r="BY105" s="75">
        <v>4.0999999999999996</v>
      </c>
      <c r="BZ105" s="22">
        <f t="shared" si="7"/>
        <v>2050</v>
      </c>
      <c r="CA105" s="20">
        <v>1750</v>
      </c>
      <c r="CB105" s="20"/>
      <c r="CC105" s="20"/>
      <c r="CD105" s="20"/>
      <c r="CE105" s="20"/>
    </row>
    <row r="106" spans="1:83" ht="29.25" customHeight="1" x14ac:dyDescent="0.25">
      <c r="A106" s="23">
        <v>105</v>
      </c>
      <c r="B106" s="24" t="s">
        <v>291</v>
      </c>
      <c r="C106" s="21" t="s">
        <v>291</v>
      </c>
      <c r="D106" s="24" t="s">
        <v>293</v>
      </c>
      <c r="E106" s="23" t="s">
        <v>82</v>
      </c>
      <c r="F106" s="22"/>
      <c r="G106" s="22"/>
      <c r="H106" s="22"/>
      <c r="I106" s="22"/>
      <c r="J106" s="22"/>
      <c r="K106" s="22"/>
      <c r="L106" s="22"/>
      <c r="M106" s="22"/>
      <c r="N106" s="22"/>
      <c r="O106" s="22"/>
      <c r="P106" s="22"/>
      <c r="Q106" s="22"/>
      <c r="R106" s="22"/>
      <c r="S106" s="22"/>
      <c r="T106" s="25"/>
      <c r="U106" s="25"/>
      <c r="V106" s="25"/>
      <c r="W106" s="22"/>
      <c r="X106" s="22"/>
      <c r="Y106" s="22"/>
      <c r="Z106" s="22"/>
      <c r="AA106" s="22"/>
      <c r="AB106" s="22"/>
      <c r="AC106" s="22"/>
      <c r="AD106" s="22"/>
      <c r="AG106" s="22"/>
      <c r="AJ106" s="22"/>
      <c r="AK106" s="22">
        <v>70000</v>
      </c>
      <c r="AO106" s="25"/>
      <c r="AQ106" s="25"/>
      <c r="AR106" s="27"/>
      <c r="AS106" s="27"/>
      <c r="AT106" s="27"/>
      <c r="BA106" s="25"/>
      <c r="BB106" s="25"/>
      <c r="BC106" s="25"/>
      <c r="BD106" s="25"/>
      <c r="BE106" s="25"/>
      <c r="BF106" s="25"/>
      <c r="BG106" s="25"/>
      <c r="BH106" s="25"/>
      <c r="BI106" s="25"/>
      <c r="BJ106" s="25"/>
      <c r="BK106" s="25"/>
      <c r="BL106" s="25"/>
      <c r="BM106" s="25"/>
      <c r="BN106" s="25"/>
      <c r="BO106" s="25"/>
      <c r="BP106" s="25"/>
      <c r="BQ106" s="25"/>
      <c r="BR106" s="25"/>
      <c r="BS106" s="25"/>
      <c r="BT106" s="25">
        <f t="shared" si="8"/>
        <v>70000</v>
      </c>
      <c r="BU106" s="28">
        <f t="shared" si="5"/>
        <v>70000</v>
      </c>
      <c r="BV106" s="25">
        <f t="shared" si="6"/>
        <v>1.9166666666666665</v>
      </c>
      <c r="BW106" s="25">
        <f t="shared" si="9"/>
        <v>134166.66666666666</v>
      </c>
      <c r="BX106" s="25">
        <v>134166.67000000001</v>
      </c>
      <c r="BY106" s="22">
        <v>2.2999999999999998</v>
      </c>
      <c r="BZ106" s="22">
        <f t="shared" si="7"/>
        <v>161000</v>
      </c>
      <c r="CA106" s="20">
        <v>21000</v>
      </c>
    </row>
    <row r="107" spans="1:83" ht="29.25" customHeight="1" x14ac:dyDescent="0.25">
      <c r="A107" s="29">
        <v>106</v>
      </c>
      <c r="B107" s="30" t="s">
        <v>291</v>
      </c>
      <c r="C107" s="25" t="s">
        <v>291</v>
      </c>
      <c r="D107" s="30" t="s">
        <v>294</v>
      </c>
      <c r="E107" s="29" t="s">
        <v>82</v>
      </c>
      <c r="F107" s="25"/>
      <c r="G107" s="26"/>
      <c r="H107" s="26"/>
      <c r="I107" s="26"/>
      <c r="J107" s="26"/>
      <c r="K107" s="26"/>
      <c r="L107" s="26"/>
      <c r="M107" s="26"/>
      <c r="N107" s="26"/>
      <c r="O107" s="26"/>
      <c r="P107" s="26"/>
      <c r="Q107" s="26"/>
      <c r="R107" s="26"/>
      <c r="S107" s="26"/>
      <c r="T107" s="25"/>
      <c r="U107" s="25"/>
      <c r="V107" s="25"/>
      <c r="W107" s="26"/>
      <c r="X107" s="26"/>
      <c r="Y107" s="26"/>
      <c r="Z107" s="26"/>
      <c r="AA107" s="26"/>
      <c r="AB107" s="26"/>
      <c r="AC107" s="26"/>
      <c r="AD107" s="26"/>
      <c r="AE107" s="26"/>
      <c r="AF107" s="26"/>
      <c r="AJ107" s="26"/>
      <c r="AK107" s="26"/>
      <c r="AL107" s="26"/>
      <c r="AM107" s="25">
        <v>10000</v>
      </c>
      <c r="AO107" s="25"/>
      <c r="AQ107" s="25"/>
      <c r="AR107" s="26"/>
      <c r="AS107" s="26"/>
      <c r="AT107" s="26"/>
      <c r="AU107" s="26"/>
      <c r="AV107" s="26"/>
      <c r="AY107" s="21"/>
      <c r="BA107" s="25"/>
      <c r="BB107" s="25"/>
      <c r="BC107" s="25"/>
      <c r="BD107" s="25"/>
      <c r="BE107" s="25"/>
      <c r="BF107" s="25"/>
      <c r="BG107" s="25"/>
      <c r="BH107" s="25"/>
      <c r="BI107" s="25"/>
      <c r="BJ107" s="25"/>
      <c r="BK107" s="25"/>
      <c r="BL107" s="25"/>
      <c r="BM107" s="25"/>
      <c r="BN107" s="25"/>
      <c r="BO107" s="25"/>
      <c r="BP107" s="25"/>
      <c r="BQ107" s="25"/>
      <c r="BR107" s="25"/>
      <c r="BS107" s="25"/>
      <c r="BT107" s="25">
        <f t="shared" si="8"/>
        <v>10000</v>
      </c>
      <c r="BU107" s="28">
        <f t="shared" si="5"/>
        <v>10000</v>
      </c>
      <c r="BV107" s="25">
        <f t="shared" si="6"/>
        <v>3.2383333333333337</v>
      </c>
      <c r="BW107" s="25">
        <f t="shared" si="9"/>
        <v>32383.333333333336</v>
      </c>
      <c r="BX107" s="25">
        <v>32383.34</v>
      </c>
      <c r="BY107" s="25">
        <v>3.8860000000000001</v>
      </c>
      <c r="BZ107" s="22">
        <f t="shared" si="7"/>
        <v>38860</v>
      </c>
    </row>
    <row r="108" spans="1:83" ht="29.25" customHeight="1" x14ac:dyDescent="0.25">
      <c r="A108" s="23">
        <v>107</v>
      </c>
      <c r="B108" s="30" t="s">
        <v>295</v>
      </c>
      <c r="C108" s="25" t="s">
        <v>295</v>
      </c>
      <c r="D108" s="30" t="s">
        <v>296</v>
      </c>
      <c r="E108" s="29" t="s">
        <v>82</v>
      </c>
      <c r="F108" s="25"/>
      <c r="G108" s="27"/>
      <c r="H108" s="27"/>
      <c r="I108" s="27"/>
      <c r="J108" s="27"/>
      <c r="K108" s="27"/>
      <c r="L108" s="27"/>
      <c r="M108" s="55">
        <v>21000</v>
      </c>
      <c r="N108" s="47"/>
      <c r="O108" s="48"/>
      <c r="P108" s="22"/>
      <c r="Q108" s="25"/>
      <c r="R108" s="25"/>
      <c r="S108" s="27"/>
      <c r="T108" s="25"/>
      <c r="U108" s="25"/>
      <c r="V108" s="25"/>
      <c r="W108" s="25"/>
      <c r="X108" s="25"/>
      <c r="Y108" s="25"/>
      <c r="Z108" s="25"/>
      <c r="AA108" s="27"/>
      <c r="AB108" s="25"/>
      <c r="AO108" s="25"/>
      <c r="AQ108" s="25"/>
      <c r="AR108" s="27"/>
      <c r="AS108" s="27"/>
      <c r="AT108" s="27"/>
      <c r="BA108" s="25"/>
      <c r="BB108" s="25"/>
      <c r="BC108" s="25"/>
      <c r="BD108" s="25"/>
      <c r="BE108" s="25"/>
      <c r="BF108" s="25"/>
      <c r="BG108" s="25"/>
      <c r="BH108" s="25"/>
      <c r="BI108" s="25"/>
      <c r="BJ108" s="25"/>
      <c r="BK108" s="25"/>
      <c r="BL108" s="25"/>
      <c r="BM108" s="25"/>
      <c r="BN108" s="25"/>
      <c r="BO108" s="25"/>
      <c r="BP108" s="25"/>
      <c r="BQ108" s="25"/>
      <c r="BR108" s="25"/>
      <c r="BS108" s="25"/>
      <c r="BT108" s="25">
        <f t="shared" si="8"/>
        <v>21000</v>
      </c>
      <c r="BU108" s="28">
        <f t="shared" si="5"/>
        <v>21000</v>
      </c>
      <c r="BV108" s="25">
        <f t="shared" si="6"/>
        <v>3.5333333333333337</v>
      </c>
      <c r="BW108" s="25">
        <f t="shared" si="9"/>
        <v>74200</v>
      </c>
      <c r="BX108" s="25">
        <v>74200</v>
      </c>
      <c r="BY108" s="76">
        <v>4.24</v>
      </c>
      <c r="BZ108" s="22">
        <f t="shared" si="7"/>
        <v>89040</v>
      </c>
      <c r="CA108" s="20" t="s">
        <v>297</v>
      </c>
    </row>
    <row r="109" spans="1:83" ht="29.25" customHeight="1" x14ac:dyDescent="0.25">
      <c r="A109" s="29">
        <v>108</v>
      </c>
      <c r="B109" s="30" t="s">
        <v>298</v>
      </c>
      <c r="C109" s="25" t="s">
        <v>298</v>
      </c>
      <c r="D109" s="30" t="s">
        <v>299</v>
      </c>
      <c r="E109" s="29" t="s">
        <v>82</v>
      </c>
      <c r="F109" s="25"/>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3"/>
      <c r="AG109" s="34"/>
      <c r="AH109" s="31"/>
      <c r="AI109" s="31"/>
      <c r="AJ109" s="31"/>
      <c r="AK109" s="33"/>
      <c r="AL109" s="31"/>
      <c r="AM109" s="31"/>
      <c r="AN109" s="34"/>
      <c r="AO109" s="34"/>
      <c r="AP109" s="31"/>
      <c r="AQ109" s="31"/>
      <c r="AR109" s="33"/>
      <c r="AS109" s="33"/>
      <c r="AT109" s="33"/>
      <c r="AU109" s="31"/>
      <c r="AV109" s="35"/>
      <c r="AW109" s="34"/>
      <c r="AX109" s="34"/>
      <c r="AY109" s="33"/>
      <c r="AZ109" s="31"/>
      <c r="BA109" s="31"/>
      <c r="BB109" s="31"/>
      <c r="BC109" s="31"/>
      <c r="BD109" s="31"/>
      <c r="BE109" s="31"/>
      <c r="BF109" s="31"/>
      <c r="BG109" s="31"/>
      <c r="BH109" s="31"/>
      <c r="BI109" s="31"/>
      <c r="BJ109" s="31"/>
      <c r="BK109" s="42"/>
      <c r="BL109" s="42">
        <v>600</v>
      </c>
      <c r="BM109" s="42"/>
      <c r="BN109" s="42"/>
      <c r="BO109" s="42"/>
      <c r="BP109" s="42"/>
      <c r="BQ109" s="42"/>
      <c r="BR109" s="42"/>
      <c r="BS109" s="42"/>
      <c r="BT109" s="25">
        <f t="shared" si="8"/>
        <v>600</v>
      </c>
      <c r="BU109" s="28">
        <f t="shared" si="5"/>
        <v>600</v>
      </c>
      <c r="BV109" s="25">
        <f t="shared" si="6"/>
        <v>4.4000000000000004</v>
      </c>
      <c r="BW109" s="25">
        <f t="shared" si="9"/>
        <v>2640</v>
      </c>
      <c r="BX109" s="25">
        <v>2640</v>
      </c>
      <c r="BY109" s="43">
        <v>5.28</v>
      </c>
      <c r="BZ109" s="22">
        <f t="shared" si="7"/>
        <v>3168</v>
      </c>
      <c r="CA109" s="20" t="s">
        <v>300</v>
      </c>
    </row>
    <row r="110" spans="1:83" ht="29.25" customHeight="1" x14ac:dyDescent="0.25">
      <c r="A110" s="23">
        <v>109</v>
      </c>
      <c r="B110" s="30" t="s">
        <v>298</v>
      </c>
      <c r="C110" s="25" t="s">
        <v>298</v>
      </c>
      <c r="D110" s="64" t="s">
        <v>301</v>
      </c>
      <c r="E110" s="29" t="s">
        <v>82</v>
      </c>
      <c r="F110" s="25"/>
      <c r="G110" s="40"/>
      <c r="H110" s="40"/>
      <c r="I110" s="40"/>
      <c r="J110" s="40"/>
      <c r="K110" s="40"/>
      <c r="L110" s="40"/>
      <c r="M110" s="40"/>
      <c r="N110" s="40"/>
      <c r="O110" s="40"/>
      <c r="P110" s="40"/>
      <c r="Q110" s="40"/>
      <c r="R110" s="40"/>
      <c r="S110" s="40"/>
      <c r="T110" s="25"/>
      <c r="U110" s="25"/>
      <c r="V110" s="25"/>
      <c r="W110" s="40"/>
      <c r="X110" s="40"/>
      <c r="Y110" s="40"/>
      <c r="Z110" s="40"/>
      <c r="AA110" s="40"/>
      <c r="AB110" s="40"/>
      <c r="AC110" s="40"/>
      <c r="AD110" s="40"/>
      <c r="AE110" s="40"/>
      <c r="AF110" s="40"/>
      <c r="AG110" s="40"/>
      <c r="AH110" s="40">
        <v>7500</v>
      </c>
      <c r="AI110" s="40"/>
      <c r="AJ110" s="40"/>
      <c r="AK110" s="40"/>
      <c r="AL110" s="40"/>
      <c r="AM110" s="40"/>
      <c r="AN110" s="40"/>
      <c r="AO110" s="40"/>
      <c r="AP110" s="40"/>
      <c r="AQ110" s="25"/>
      <c r="AR110" s="40"/>
      <c r="AS110" s="40"/>
      <c r="AT110" s="40"/>
      <c r="AU110" s="40"/>
      <c r="AV110" s="40"/>
      <c r="AW110" s="40"/>
      <c r="AX110" s="40"/>
      <c r="AY110" s="21"/>
      <c r="BA110" s="25"/>
      <c r="BB110" s="25"/>
      <c r="BC110" s="25"/>
      <c r="BD110" s="25"/>
      <c r="BE110" s="25"/>
      <c r="BF110" s="25"/>
      <c r="BG110" s="25"/>
      <c r="BH110" s="25"/>
      <c r="BI110" s="25"/>
      <c r="BJ110" s="25"/>
      <c r="BK110" s="25"/>
      <c r="BL110" s="25"/>
      <c r="BM110" s="25"/>
      <c r="BN110" s="25"/>
      <c r="BO110" s="25"/>
      <c r="BP110" s="25"/>
      <c r="BQ110" s="25"/>
      <c r="BR110" s="25"/>
      <c r="BS110" s="25"/>
      <c r="BT110" s="25">
        <f t="shared" si="8"/>
        <v>7500</v>
      </c>
      <c r="BU110" s="28">
        <f t="shared" si="5"/>
        <v>7500</v>
      </c>
      <c r="BV110" s="25">
        <f t="shared" si="6"/>
        <v>3.3333333333333335</v>
      </c>
      <c r="BW110" s="25">
        <f t="shared" si="9"/>
        <v>25000</v>
      </c>
      <c r="BX110" s="25">
        <v>25000</v>
      </c>
      <c r="BY110" s="22">
        <v>4</v>
      </c>
      <c r="BZ110" s="22">
        <f t="shared" si="7"/>
        <v>30000</v>
      </c>
      <c r="CA110" s="20">
        <v>7584</v>
      </c>
    </row>
    <row r="111" spans="1:83" ht="29.25" customHeight="1" x14ac:dyDescent="0.25">
      <c r="A111" s="29">
        <v>110</v>
      </c>
      <c r="B111" s="30" t="s">
        <v>302</v>
      </c>
      <c r="C111" s="25" t="s">
        <v>302</v>
      </c>
      <c r="D111" s="30" t="s">
        <v>303</v>
      </c>
      <c r="E111" s="56" t="s">
        <v>82</v>
      </c>
      <c r="F111" s="55"/>
      <c r="G111" s="55"/>
      <c r="H111" s="55"/>
      <c r="I111" s="55"/>
      <c r="J111" s="55"/>
      <c r="K111" s="55"/>
      <c r="L111" s="55"/>
      <c r="M111" s="55"/>
      <c r="N111" s="55"/>
      <c r="O111" s="55">
        <v>2500</v>
      </c>
      <c r="P111" s="22"/>
      <c r="Q111" s="25"/>
      <c r="R111" s="25"/>
      <c r="S111" s="27"/>
      <c r="T111" s="25"/>
      <c r="U111" s="25"/>
      <c r="V111" s="25"/>
      <c r="W111" s="25"/>
      <c r="X111" s="25"/>
      <c r="Y111" s="25"/>
      <c r="Z111" s="25"/>
      <c r="AA111" s="27"/>
      <c r="AB111" s="25"/>
      <c r="AO111" s="25"/>
      <c r="AQ111" s="25"/>
      <c r="AR111" s="27"/>
      <c r="AS111" s="27"/>
      <c r="AT111" s="27"/>
      <c r="BA111" s="25"/>
      <c r="BB111" s="25"/>
      <c r="BC111" s="25"/>
      <c r="BD111" s="25"/>
      <c r="BE111" s="25"/>
      <c r="BF111" s="25"/>
      <c r="BG111" s="25"/>
      <c r="BH111" s="25"/>
      <c r="BI111" s="25"/>
      <c r="BJ111" s="25"/>
      <c r="BK111" s="25"/>
      <c r="BL111" s="25"/>
      <c r="BM111" s="25"/>
      <c r="BN111" s="25"/>
      <c r="BO111" s="25"/>
      <c r="BP111" s="25"/>
      <c r="BQ111" s="25"/>
      <c r="BR111" s="25"/>
      <c r="BS111" s="25"/>
      <c r="BT111" s="25">
        <f t="shared" si="8"/>
        <v>2500</v>
      </c>
      <c r="BU111" s="28">
        <f t="shared" si="5"/>
        <v>2500</v>
      </c>
      <c r="BV111" s="25">
        <f t="shared" si="6"/>
        <v>2.041666666666667</v>
      </c>
      <c r="BW111" s="25">
        <f t="shared" si="9"/>
        <v>5104.166666666667</v>
      </c>
      <c r="BX111" s="25">
        <v>5104.17</v>
      </c>
      <c r="BY111" s="53">
        <v>2.4500000000000002</v>
      </c>
      <c r="BZ111" s="22">
        <f t="shared" si="7"/>
        <v>6125</v>
      </c>
      <c r="CA111" s="20">
        <v>5500</v>
      </c>
    </row>
    <row r="112" spans="1:83" ht="29.25" customHeight="1" x14ac:dyDescent="0.25">
      <c r="A112" s="23">
        <v>111</v>
      </c>
      <c r="B112" s="30" t="s">
        <v>304</v>
      </c>
      <c r="C112" s="25" t="s">
        <v>304</v>
      </c>
      <c r="D112" s="30" t="s">
        <v>305</v>
      </c>
      <c r="E112" s="29" t="s">
        <v>82</v>
      </c>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F112" s="25"/>
      <c r="AG112" s="25"/>
      <c r="AK112" s="25"/>
      <c r="AO112" s="25"/>
      <c r="AQ112" s="25"/>
      <c r="AR112" s="25"/>
      <c r="AS112" s="25"/>
      <c r="AT112" s="25"/>
      <c r="AV112" s="25"/>
      <c r="AW112" s="25">
        <v>3000</v>
      </c>
      <c r="AY112" s="21"/>
      <c r="BA112" s="25"/>
      <c r="BB112" s="25"/>
      <c r="BC112" s="25"/>
      <c r="BD112" s="25"/>
      <c r="BE112" s="25"/>
      <c r="BF112" s="25"/>
      <c r="BG112" s="25"/>
      <c r="BH112" s="25"/>
      <c r="BI112" s="25"/>
      <c r="BJ112" s="25"/>
      <c r="BK112" s="25"/>
      <c r="BL112" s="25"/>
      <c r="BM112" s="25"/>
      <c r="BN112" s="25"/>
      <c r="BO112" s="25"/>
      <c r="BP112" s="25"/>
      <c r="BQ112" s="25"/>
      <c r="BR112" s="25"/>
      <c r="BS112" s="25"/>
      <c r="BT112" s="25">
        <f t="shared" si="8"/>
        <v>3000</v>
      </c>
      <c r="BU112" s="28">
        <f t="shared" si="5"/>
        <v>3000</v>
      </c>
      <c r="BV112" s="25">
        <f t="shared" si="6"/>
        <v>3.7916666666666665</v>
      </c>
      <c r="BW112" s="25">
        <f t="shared" si="9"/>
        <v>11375</v>
      </c>
      <c r="BX112" s="25">
        <v>11375</v>
      </c>
      <c r="BY112" s="25">
        <v>4.55</v>
      </c>
      <c r="BZ112" s="22">
        <f t="shared" si="7"/>
        <v>13650</v>
      </c>
      <c r="CA112" s="20">
        <v>11700</v>
      </c>
    </row>
    <row r="113" spans="1:79" ht="29.25" customHeight="1" x14ac:dyDescent="0.25">
      <c r="A113" s="29">
        <v>112</v>
      </c>
      <c r="B113" s="30" t="s">
        <v>306</v>
      </c>
      <c r="C113" s="25" t="s">
        <v>306</v>
      </c>
      <c r="D113" s="30" t="s">
        <v>307</v>
      </c>
      <c r="E113" s="29" t="s">
        <v>82</v>
      </c>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F113" s="25"/>
      <c r="AG113" s="25"/>
      <c r="AK113" s="25"/>
      <c r="AN113" s="25"/>
      <c r="AO113" s="25"/>
      <c r="AP113" s="40"/>
      <c r="AQ113" s="25"/>
      <c r="AR113" s="25"/>
      <c r="AS113" s="25"/>
      <c r="AT113" s="25"/>
      <c r="AV113" s="25"/>
      <c r="AW113" s="25"/>
      <c r="AX113" s="25"/>
      <c r="AY113" s="25"/>
      <c r="AZ113" s="25">
        <v>5000</v>
      </c>
      <c r="BA113" s="25"/>
      <c r="BB113" s="25"/>
      <c r="BC113" s="25"/>
      <c r="BD113" s="25"/>
      <c r="BE113" s="25"/>
      <c r="BF113" s="25"/>
      <c r="BG113" s="25"/>
      <c r="BH113" s="25"/>
      <c r="BI113" s="25"/>
      <c r="BJ113" s="25"/>
      <c r="BK113" s="25"/>
      <c r="BL113" s="25"/>
      <c r="BM113" s="25"/>
      <c r="BN113" s="25"/>
      <c r="BO113" s="25"/>
      <c r="BP113" s="25"/>
      <c r="BQ113" s="25"/>
      <c r="BR113" s="25"/>
      <c r="BS113" s="25"/>
      <c r="BT113" s="25">
        <f t="shared" si="8"/>
        <v>5000</v>
      </c>
      <c r="BU113" s="28">
        <f t="shared" si="5"/>
        <v>5000</v>
      </c>
      <c r="BV113" s="25">
        <f t="shared" si="6"/>
        <v>2.0666666666666669</v>
      </c>
      <c r="BW113" s="25">
        <f t="shared" si="9"/>
        <v>10333.333333333334</v>
      </c>
      <c r="BX113" s="25">
        <v>10333.34</v>
      </c>
      <c r="BY113" s="25">
        <v>2.48</v>
      </c>
      <c r="BZ113" s="22">
        <f t="shared" si="7"/>
        <v>12400</v>
      </c>
    </row>
    <row r="114" spans="1:79" ht="29.25" customHeight="1" x14ac:dyDescent="0.25">
      <c r="A114" s="77">
        <v>113</v>
      </c>
      <c r="B114" s="30" t="s">
        <v>308</v>
      </c>
      <c r="C114" s="25" t="s">
        <v>308</v>
      </c>
      <c r="D114" s="30" t="s">
        <v>309</v>
      </c>
      <c r="E114" s="61" t="s">
        <v>310</v>
      </c>
      <c r="F114" s="27"/>
      <c r="G114" s="27"/>
      <c r="H114" s="25">
        <v>2000</v>
      </c>
      <c r="I114" s="25"/>
      <c r="J114" s="59"/>
      <c r="K114" s="27"/>
      <c r="L114" s="27"/>
      <c r="M114" s="27"/>
      <c r="N114" s="27"/>
      <c r="O114" s="55"/>
      <c r="P114" s="22"/>
      <c r="Q114" s="25"/>
      <c r="R114" s="25"/>
      <c r="S114" s="27"/>
      <c r="T114" s="25"/>
      <c r="U114" s="25"/>
      <c r="V114" s="25"/>
      <c r="W114" s="25"/>
      <c r="X114" s="25"/>
      <c r="Y114" s="25"/>
      <c r="Z114" s="25"/>
      <c r="AA114" s="27"/>
      <c r="AB114" s="25"/>
      <c r="AO114" s="25"/>
      <c r="AQ114" s="25"/>
      <c r="AR114" s="27"/>
      <c r="AS114" s="27"/>
      <c r="AT114" s="27"/>
      <c r="BA114" s="25"/>
      <c r="BB114" s="25"/>
      <c r="BC114" s="25"/>
      <c r="BD114" s="25"/>
      <c r="BE114" s="25"/>
      <c r="BF114" s="25"/>
      <c r="BG114" s="25"/>
      <c r="BH114" s="25"/>
      <c r="BI114" s="25"/>
      <c r="BJ114" s="25"/>
      <c r="BK114" s="25"/>
      <c r="BL114" s="25"/>
      <c r="BM114" s="25"/>
      <c r="BN114" s="25"/>
      <c r="BO114" s="25"/>
      <c r="BP114" s="25"/>
      <c r="BQ114" s="25"/>
      <c r="BR114" s="25"/>
      <c r="BS114" s="25"/>
      <c r="BT114" s="25">
        <f t="shared" si="8"/>
        <v>2000</v>
      </c>
      <c r="BU114" s="28">
        <f t="shared" si="5"/>
        <v>2000</v>
      </c>
      <c r="BV114" s="25">
        <f t="shared" si="6"/>
        <v>0.1</v>
      </c>
      <c r="BW114" s="25">
        <f t="shared" si="9"/>
        <v>200</v>
      </c>
      <c r="BX114" s="25">
        <v>200</v>
      </c>
      <c r="BY114" s="22">
        <v>0.12</v>
      </c>
      <c r="BZ114" s="22">
        <f t="shared" si="7"/>
        <v>240</v>
      </c>
    </row>
    <row r="115" spans="1:79" ht="29.25" customHeight="1" x14ac:dyDescent="0.25">
      <c r="A115" s="23">
        <v>114</v>
      </c>
      <c r="B115" s="30" t="s">
        <v>311</v>
      </c>
      <c r="C115" s="25" t="s">
        <v>311</v>
      </c>
      <c r="D115" s="30" t="s">
        <v>309</v>
      </c>
      <c r="E115" s="61" t="s">
        <v>310</v>
      </c>
      <c r="F115" s="27"/>
      <c r="G115" s="27"/>
      <c r="H115" s="25">
        <v>4000</v>
      </c>
      <c r="I115" s="25"/>
      <c r="J115" s="59"/>
      <c r="K115" s="27"/>
      <c r="L115" s="27"/>
      <c r="M115" s="27"/>
      <c r="N115" s="27"/>
      <c r="O115" s="55"/>
      <c r="P115" s="22"/>
      <c r="Q115" s="25"/>
      <c r="R115" s="25"/>
      <c r="S115" s="27"/>
      <c r="T115" s="25"/>
      <c r="U115" s="25"/>
      <c r="V115" s="25"/>
      <c r="W115" s="25"/>
      <c r="X115" s="25"/>
      <c r="Y115" s="25"/>
      <c r="Z115" s="25"/>
      <c r="AA115" s="27"/>
      <c r="AB115" s="25"/>
      <c r="AO115" s="25"/>
      <c r="AQ115" s="25"/>
      <c r="AR115" s="27"/>
      <c r="AS115" s="27"/>
      <c r="AT115" s="27"/>
      <c r="BA115" s="25"/>
      <c r="BB115" s="25"/>
      <c r="BC115" s="25"/>
      <c r="BD115" s="25"/>
      <c r="BE115" s="25"/>
      <c r="BF115" s="25"/>
      <c r="BG115" s="25"/>
      <c r="BH115" s="25"/>
      <c r="BI115" s="25"/>
      <c r="BJ115" s="25"/>
      <c r="BK115" s="25"/>
      <c r="BL115" s="25"/>
      <c r="BM115" s="25"/>
      <c r="BN115" s="25"/>
      <c r="BO115" s="25"/>
      <c r="BP115" s="25"/>
      <c r="BQ115" s="25"/>
      <c r="BR115" s="25"/>
      <c r="BS115" s="25"/>
      <c r="BT115" s="25">
        <f t="shared" si="8"/>
        <v>4000</v>
      </c>
      <c r="BU115" s="28">
        <f t="shared" si="5"/>
        <v>4000</v>
      </c>
      <c r="BV115" s="25">
        <f t="shared" si="6"/>
        <v>0.1</v>
      </c>
      <c r="BW115" s="25">
        <f t="shared" si="9"/>
        <v>400</v>
      </c>
      <c r="BX115" s="25">
        <v>400</v>
      </c>
      <c r="BY115" s="22">
        <v>0.12</v>
      </c>
      <c r="BZ115" s="22">
        <f t="shared" si="7"/>
        <v>480</v>
      </c>
    </row>
    <row r="116" spans="1:79" ht="29.25" customHeight="1" x14ac:dyDescent="0.25">
      <c r="A116" s="23">
        <v>115</v>
      </c>
      <c r="B116" s="30" t="s">
        <v>312</v>
      </c>
      <c r="C116" s="25" t="s">
        <v>312</v>
      </c>
      <c r="D116" s="30" t="s">
        <v>313</v>
      </c>
      <c r="E116" s="61" t="s">
        <v>310</v>
      </c>
      <c r="F116" s="27"/>
      <c r="G116" s="27"/>
      <c r="H116" s="25">
        <v>4000</v>
      </c>
      <c r="I116" s="25"/>
      <c r="J116" s="59"/>
      <c r="K116" s="27"/>
      <c r="L116" s="27"/>
      <c r="M116" s="27"/>
      <c r="N116" s="27"/>
      <c r="O116" s="55"/>
      <c r="P116" s="22"/>
      <c r="Q116" s="25"/>
      <c r="R116" s="25"/>
      <c r="S116" s="27"/>
      <c r="T116" s="25"/>
      <c r="U116" s="25"/>
      <c r="V116" s="25"/>
      <c r="W116" s="25"/>
      <c r="X116" s="25"/>
      <c r="Y116" s="25"/>
      <c r="Z116" s="25"/>
      <c r="AA116" s="27"/>
      <c r="AB116" s="25"/>
      <c r="AO116" s="25"/>
      <c r="AQ116" s="25"/>
      <c r="AR116" s="27"/>
      <c r="AS116" s="27"/>
      <c r="AT116" s="27"/>
      <c r="BA116" s="25"/>
      <c r="BB116" s="25"/>
      <c r="BC116" s="25"/>
      <c r="BD116" s="25"/>
      <c r="BE116" s="25"/>
      <c r="BF116" s="25"/>
      <c r="BG116" s="25"/>
      <c r="BH116" s="25"/>
      <c r="BI116" s="25"/>
      <c r="BJ116" s="25"/>
      <c r="BK116" s="25"/>
      <c r="BL116" s="25"/>
      <c r="BM116" s="25"/>
      <c r="BN116" s="25"/>
      <c r="BO116" s="25"/>
      <c r="BP116" s="25"/>
      <c r="BQ116" s="25"/>
      <c r="BR116" s="25"/>
      <c r="BS116" s="25"/>
      <c r="BT116" s="25">
        <f t="shared" si="8"/>
        <v>4000</v>
      </c>
      <c r="BU116" s="28">
        <f t="shared" si="5"/>
        <v>4000</v>
      </c>
      <c r="BV116" s="25">
        <f t="shared" si="6"/>
        <v>0.1</v>
      </c>
      <c r="BW116" s="25">
        <f t="shared" si="9"/>
        <v>400</v>
      </c>
      <c r="BX116" s="25">
        <v>400</v>
      </c>
      <c r="BY116" s="22">
        <v>0.12</v>
      </c>
      <c r="BZ116" s="22">
        <f t="shared" si="7"/>
        <v>480</v>
      </c>
    </row>
    <row r="117" spans="1:79" ht="29.25" customHeight="1" x14ac:dyDescent="0.25">
      <c r="A117" s="29">
        <v>116</v>
      </c>
      <c r="B117" s="30" t="s">
        <v>314</v>
      </c>
      <c r="C117" s="25" t="s">
        <v>314</v>
      </c>
      <c r="D117" s="30" t="s">
        <v>315</v>
      </c>
      <c r="E117" s="29" t="s">
        <v>316</v>
      </c>
      <c r="F117" s="25"/>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3"/>
      <c r="AG117" s="34"/>
      <c r="AH117" s="31"/>
      <c r="AI117" s="31"/>
      <c r="AJ117" s="31"/>
      <c r="AK117" s="33"/>
      <c r="AL117" s="31"/>
      <c r="AM117" s="31"/>
      <c r="AN117" s="34"/>
      <c r="AO117" s="34"/>
      <c r="AP117" s="31"/>
      <c r="AQ117" s="31"/>
      <c r="AR117" s="33"/>
      <c r="AS117" s="33"/>
      <c r="AT117" s="33"/>
      <c r="AU117" s="31"/>
      <c r="AV117" s="35"/>
      <c r="AW117" s="34"/>
      <c r="AX117" s="34"/>
      <c r="AY117" s="33"/>
      <c r="AZ117" s="31"/>
      <c r="BA117" s="31"/>
      <c r="BB117" s="31"/>
      <c r="BC117" s="31"/>
      <c r="BD117" s="31"/>
      <c r="BE117" s="31"/>
      <c r="BF117" s="31"/>
      <c r="BG117" s="31"/>
      <c r="BH117" s="31"/>
      <c r="BI117" s="31"/>
      <c r="BJ117" s="31"/>
      <c r="BK117" s="42"/>
      <c r="BL117" s="42">
        <v>10000</v>
      </c>
      <c r="BM117" s="42"/>
      <c r="BN117" s="42"/>
      <c r="BO117" s="42"/>
      <c r="BP117" s="42"/>
      <c r="BQ117" s="42"/>
      <c r="BR117" s="42"/>
      <c r="BS117" s="42"/>
      <c r="BT117" s="25">
        <f>SUM(F117:BS117)</f>
        <v>10000</v>
      </c>
      <c r="BU117" s="28">
        <f t="shared" si="5"/>
        <v>10000</v>
      </c>
      <c r="BV117" s="25">
        <f t="shared" ref="BV117:BV129" si="10">BY117/1.2</f>
        <v>0.23333333333333336</v>
      </c>
      <c r="BW117" s="25">
        <f>BT117*BV117</f>
        <v>2333.3333333333335</v>
      </c>
      <c r="BX117" s="25">
        <v>2333.34</v>
      </c>
      <c r="BY117" s="43">
        <v>0.28000000000000003</v>
      </c>
      <c r="BZ117" s="22">
        <f t="shared" ref="BZ117:BZ129" si="11">BY117*BU117</f>
        <v>2800.0000000000005</v>
      </c>
      <c r="CA117" s="20" t="s">
        <v>317</v>
      </c>
    </row>
    <row r="118" spans="1:79" ht="29.25" customHeight="1" x14ac:dyDescent="0.25">
      <c r="A118" s="23">
        <v>117</v>
      </c>
      <c r="B118" s="30" t="s">
        <v>318</v>
      </c>
      <c r="C118" s="25" t="s">
        <v>318</v>
      </c>
      <c r="D118" s="30" t="s">
        <v>319</v>
      </c>
      <c r="E118" s="29" t="s">
        <v>82</v>
      </c>
      <c r="F118" s="25"/>
      <c r="G118" s="25"/>
      <c r="H118" s="25"/>
      <c r="I118" s="25"/>
      <c r="J118" s="25"/>
      <c r="K118" s="25"/>
      <c r="L118" s="25"/>
      <c r="M118" s="25"/>
      <c r="N118" s="25"/>
      <c r="O118" s="25"/>
      <c r="P118" s="25"/>
      <c r="Q118" s="25"/>
      <c r="R118" s="25"/>
      <c r="S118" s="25"/>
      <c r="T118" s="25"/>
      <c r="U118" s="25"/>
      <c r="V118" s="25"/>
      <c r="W118" s="25"/>
      <c r="X118" s="25"/>
      <c r="Y118" s="25"/>
      <c r="Z118" s="25">
        <v>600</v>
      </c>
      <c r="AA118" s="27"/>
      <c r="AB118" s="25"/>
      <c r="AO118" s="25"/>
      <c r="AQ118" s="25"/>
      <c r="AR118" s="27"/>
      <c r="AS118" s="27"/>
      <c r="AT118" s="27"/>
      <c r="BA118" s="25"/>
      <c r="BB118" s="25"/>
      <c r="BC118" s="25"/>
      <c r="BD118" s="25"/>
      <c r="BE118" s="25"/>
      <c r="BF118" s="25"/>
      <c r="BG118" s="25"/>
      <c r="BH118" s="25"/>
      <c r="BI118" s="25"/>
      <c r="BJ118" s="25"/>
      <c r="BK118" s="25"/>
      <c r="BL118" s="25"/>
      <c r="BM118" s="25"/>
      <c r="BN118" s="25"/>
      <c r="BO118" s="25"/>
      <c r="BP118" s="25"/>
      <c r="BQ118" s="25"/>
      <c r="BR118" s="25"/>
      <c r="BS118" s="25"/>
      <c r="BT118" s="25">
        <f t="shared" si="8"/>
        <v>600</v>
      </c>
      <c r="BU118" s="28">
        <f t="shared" si="5"/>
        <v>600</v>
      </c>
      <c r="BV118" s="25">
        <f t="shared" si="10"/>
        <v>583.33333333333337</v>
      </c>
      <c r="BW118" s="25">
        <f t="shared" si="9"/>
        <v>350000</v>
      </c>
      <c r="BX118" s="25">
        <v>350000</v>
      </c>
      <c r="BY118" s="45">
        <v>700</v>
      </c>
      <c r="BZ118" s="22">
        <f t="shared" si="11"/>
        <v>420000</v>
      </c>
    </row>
    <row r="119" spans="1:79" ht="29.25" customHeight="1" x14ac:dyDescent="0.25">
      <c r="A119" s="29">
        <v>118</v>
      </c>
      <c r="B119" s="30" t="s">
        <v>320</v>
      </c>
      <c r="C119" s="25" t="s">
        <v>320</v>
      </c>
      <c r="D119" s="30" t="s">
        <v>321</v>
      </c>
      <c r="E119" s="29" t="s">
        <v>82</v>
      </c>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F119" s="25"/>
      <c r="AG119" s="25"/>
      <c r="AJ119" s="25">
        <v>200</v>
      </c>
      <c r="AO119" s="25"/>
      <c r="AQ119" s="25"/>
      <c r="AR119" s="27"/>
      <c r="AS119" s="27"/>
      <c r="AT119" s="27"/>
      <c r="BA119" s="25"/>
      <c r="BB119" s="25"/>
      <c r="BC119" s="25"/>
      <c r="BD119" s="25"/>
      <c r="BE119" s="25"/>
      <c r="BF119" s="25"/>
      <c r="BG119" s="25"/>
      <c r="BH119" s="25"/>
      <c r="BI119" s="25"/>
      <c r="BJ119" s="25"/>
      <c r="BK119" s="25"/>
      <c r="BL119" s="25"/>
      <c r="BM119" s="25"/>
      <c r="BN119" s="25"/>
      <c r="BO119" s="25"/>
      <c r="BP119" s="25"/>
      <c r="BQ119" s="25"/>
      <c r="BR119" s="25"/>
      <c r="BS119" s="25"/>
      <c r="BT119" s="25">
        <f t="shared" si="8"/>
        <v>200</v>
      </c>
      <c r="BU119" s="28">
        <f t="shared" si="5"/>
        <v>200</v>
      </c>
      <c r="BV119" s="25">
        <f t="shared" si="10"/>
        <v>100</v>
      </c>
      <c r="BW119" s="25">
        <f t="shared" si="9"/>
        <v>20000</v>
      </c>
      <c r="BX119" s="25">
        <v>20000</v>
      </c>
      <c r="BY119" s="60">
        <v>120</v>
      </c>
      <c r="BZ119" s="22">
        <f t="shared" si="11"/>
        <v>24000</v>
      </c>
    </row>
    <row r="120" spans="1:79" ht="29.25" customHeight="1" x14ac:dyDescent="0.25">
      <c r="A120" s="23">
        <v>119</v>
      </c>
      <c r="B120" s="30" t="s">
        <v>322</v>
      </c>
      <c r="C120" s="25" t="s">
        <v>322</v>
      </c>
      <c r="D120" s="30" t="s">
        <v>323</v>
      </c>
      <c r="E120" s="29" t="s">
        <v>82</v>
      </c>
      <c r="F120" s="25"/>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v>200</v>
      </c>
      <c r="AD120" s="31"/>
      <c r="AE120" s="31"/>
      <c r="AF120" s="33"/>
      <c r="AG120" s="34"/>
      <c r="AH120" s="31"/>
      <c r="AI120" s="31"/>
      <c r="AJ120" s="31"/>
      <c r="AK120" s="33"/>
      <c r="AL120" s="31"/>
      <c r="AM120" s="31"/>
      <c r="AN120" s="34"/>
      <c r="AO120" s="34"/>
      <c r="AP120" s="31"/>
      <c r="AQ120" s="31"/>
      <c r="AR120" s="33"/>
      <c r="AS120" s="33"/>
      <c r="AT120" s="33"/>
      <c r="AU120" s="31"/>
      <c r="AV120" s="35"/>
      <c r="AW120" s="34"/>
      <c r="AX120" s="34"/>
      <c r="AY120" s="33"/>
      <c r="AZ120" s="31"/>
      <c r="BA120" s="31"/>
      <c r="BB120" s="31"/>
      <c r="BC120" s="31"/>
      <c r="BD120" s="31"/>
      <c r="BE120" s="31"/>
      <c r="BF120" s="31"/>
      <c r="BG120" s="31"/>
      <c r="BH120" s="31"/>
      <c r="BI120" s="31"/>
      <c r="BJ120" s="31"/>
      <c r="BK120" s="31"/>
      <c r="BL120" s="31"/>
      <c r="BM120" s="31"/>
      <c r="BN120" s="31"/>
      <c r="BO120" s="31"/>
      <c r="BP120" s="31"/>
      <c r="BQ120" s="31"/>
      <c r="BR120" s="31"/>
      <c r="BS120" s="31"/>
      <c r="BT120" s="25">
        <f t="shared" si="8"/>
        <v>200</v>
      </c>
      <c r="BU120" s="28">
        <f t="shared" si="5"/>
        <v>200</v>
      </c>
      <c r="BV120" s="25">
        <f t="shared" si="10"/>
        <v>216.66666666666669</v>
      </c>
      <c r="BW120" s="25">
        <f t="shared" si="9"/>
        <v>43333.333333333336</v>
      </c>
      <c r="BX120" s="25">
        <v>43333.340000000004</v>
      </c>
      <c r="BY120" s="32">
        <v>260</v>
      </c>
      <c r="BZ120" s="22">
        <f t="shared" si="11"/>
        <v>52000</v>
      </c>
      <c r="CA120" s="20" t="s">
        <v>83</v>
      </c>
    </row>
    <row r="121" spans="1:79" ht="29.25" customHeight="1" x14ac:dyDescent="0.25">
      <c r="A121" s="29">
        <v>120</v>
      </c>
      <c r="B121" s="30" t="s">
        <v>324</v>
      </c>
      <c r="C121" s="25" t="s">
        <v>324</v>
      </c>
      <c r="D121" s="30" t="s">
        <v>325</v>
      </c>
      <c r="E121" s="29" t="s">
        <v>82</v>
      </c>
      <c r="F121" s="25"/>
      <c r="G121" s="25"/>
      <c r="H121" s="25"/>
      <c r="I121" s="25"/>
      <c r="J121" s="25"/>
      <c r="K121" s="25"/>
      <c r="L121" s="25"/>
      <c r="M121" s="25"/>
      <c r="N121" s="25"/>
      <c r="O121" s="25"/>
      <c r="P121" s="25"/>
      <c r="Q121" s="25"/>
      <c r="R121" s="25"/>
      <c r="S121" s="25"/>
      <c r="T121" s="25"/>
      <c r="U121" s="25"/>
      <c r="V121" s="25"/>
      <c r="W121" s="25"/>
      <c r="X121" s="25"/>
      <c r="Y121" s="25"/>
      <c r="Z121" s="25">
        <v>500</v>
      </c>
      <c r="AA121" s="27"/>
      <c r="AB121" s="25"/>
      <c r="AO121" s="25"/>
      <c r="AQ121" s="25"/>
      <c r="AR121" s="27"/>
      <c r="AS121" s="27"/>
      <c r="AT121" s="27"/>
      <c r="BA121" s="25"/>
      <c r="BB121" s="25"/>
      <c r="BC121" s="25"/>
      <c r="BD121" s="25"/>
      <c r="BE121" s="25"/>
      <c r="BF121" s="25"/>
      <c r="BG121" s="25"/>
      <c r="BH121" s="25"/>
      <c r="BI121" s="25"/>
      <c r="BJ121" s="25"/>
      <c r="BK121" s="25"/>
      <c r="BL121" s="25"/>
      <c r="BM121" s="25"/>
      <c r="BN121" s="25"/>
      <c r="BO121" s="25"/>
      <c r="BP121" s="25"/>
      <c r="BQ121" s="25"/>
      <c r="BR121" s="25"/>
      <c r="BS121" s="25"/>
      <c r="BT121" s="25">
        <f t="shared" si="8"/>
        <v>500</v>
      </c>
      <c r="BU121" s="28">
        <f t="shared" si="5"/>
        <v>500</v>
      </c>
      <c r="BV121" s="25">
        <f t="shared" si="10"/>
        <v>28.000000000000004</v>
      </c>
      <c r="BW121" s="25">
        <f t="shared" si="9"/>
        <v>14000.000000000002</v>
      </c>
      <c r="BX121" s="25">
        <v>14000</v>
      </c>
      <c r="BY121" s="37">
        <v>33.6</v>
      </c>
      <c r="BZ121" s="22">
        <f t="shared" si="11"/>
        <v>16800</v>
      </c>
    </row>
    <row r="122" spans="1:79" ht="29.25" customHeight="1" x14ac:dyDescent="0.25">
      <c r="A122" s="23">
        <v>121</v>
      </c>
      <c r="B122" s="30" t="s">
        <v>326</v>
      </c>
      <c r="C122" s="25" t="s">
        <v>326</v>
      </c>
      <c r="D122" s="30" t="s">
        <v>81</v>
      </c>
      <c r="E122" s="29" t="s">
        <v>82</v>
      </c>
      <c r="F122" s="25"/>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v>100</v>
      </c>
      <c r="AD122" s="31"/>
      <c r="AE122" s="31"/>
      <c r="AF122" s="33"/>
      <c r="AG122" s="34"/>
      <c r="AH122" s="31"/>
      <c r="AI122" s="31"/>
      <c r="AJ122" s="31"/>
      <c r="AK122" s="33"/>
      <c r="AL122" s="31"/>
      <c r="AM122" s="31"/>
      <c r="AN122" s="34"/>
      <c r="AO122" s="34"/>
      <c r="AP122" s="31"/>
      <c r="AQ122" s="31"/>
      <c r="AR122" s="33"/>
      <c r="AS122" s="33"/>
      <c r="AT122" s="33"/>
      <c r="AU122" s="31"/>
      <c r="AV122" s="35"/>
      <c r="AW122" s="31"/>
      <c r="AX122" s="34"/>
      <c r="AY122" s="33"/>
      <c r="AZ122" s="31"/>
      <c r="BA122" s="31"/>
      <c r="BB122" s="31"/>
      <c r="BC122" s="31"/>
      <c r="BD122" s="31"/>
      <c r="BE122" s="31"/>
      <c r="BF122" s="31"/>
      <c r="BG122" s="31"/>
      <c r="BH122" s="31"/>
      <c r="BI122" s="31"/>
      <c r="BJ122" s="31"/>
      <c r="BK122" s="31"/>
      <c r="BL122" s="31"/>
      <c r="BM122" s="31"/>
      <c r="BN122" s="31"/>
      <c r="BO122" s="31"/>
      <c r="BP122" s="31"/>
      <c r="BQ122" s="31"/>
      <c r="BR122" s="31"/>
      <c r="BS122" s="31"/>
      <c r="BT122" s="25">
        <f t="shared" si="8"/>
        <v>100</v>
      </c>
      <c r="BU122" s="28">
        <f t="shared" si="5"/>
        <v>100</v>
      </c>
      <c r="BV122" s="25">
        <f t="shared" si="10"/>
        <v>50</v>
      </c>
      <c r="BW122" s="25">
        <f t="shared" si="9"/>
        <v>5000</v>
      </c>
      <c r="BX122" s="25">
        <v>5000</v>
      </c>
      <c r="BY122" s="32">
        <v>60</v>
      </c>
      <c r="BZ122" s="22">
        <f t="shared" si="11"/>
        <v>6000</v>
      </c>
      <c r="CA122" s="20" t="s">
        <v>83</v>
      </c>
    </row>
    <row r="123" spans="1:79" ht="29.25" customHeight="1" x14ac:dyDescent="0.25">
      <c r="A123" s="29">
        <v>122</v>
      </c>
      <c r="B123" s="30" t="s">
        <v>327</v>
      </c>
      <c r="C123" s="25" t="s">
        <v>327</v>
      </c>
      <c r="D123" s="30" t="s">
        <v>328</v>
      </c>
      <c r="E123" s="29" t="s">
        <v>82</v>
      </c>
      <c r="F123" s="25"/>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v>10</v>
      </c>
      <c r="AD123" s="31"/>
      <c r="AE123" s="31"/>
      <c r="AF123" s="33"/>
      <c r="AG123" s="34"/>
      <c r="AH123" s="31"/>
      <c r="AI123" s="31"/>
      <c r="AJ123" s="31"/>
      <c r="AK123" s="33"/>
      <c r="AL123" s="31"/>
      <c r="AM123" s="31"/>
      <c r="AN123" s="34"/>
      <c r="AO123" s="34"/>
      <c r="AP123" s="31"/>
      <c r="AQ123" s="31"/>
      <c r="AR123" s="33"/>
      <c r="AS123" s="33"/>
      <c r="AT123" s="33"/>
      <c r="AU123" s="31"/>
      <c r="AV123" s="35"/>
      <c r="AW123" s="31"/>
      <c r="AX123" s="34"/>
      <c r="AY123" s="33"/>
      <c r="AZ123" s="31"/>
      <c r="BA123" s="31"/>
      <c r="BB123" s="31"/>
      <c r="BC123" s="31"/>
      <c r="BD123" s="31"/>
      <c r="BE123" s="31"/>
      <c r="BF123" s="31"/>
      <c r="BG123" s="31"/>
      <c r="BH123" s="31"/>
      <c r="BI123" s="31"/>
      <c r="BJ123" s="31"/>
      <c r="BK123" s="31"/>
      <c r="BL123" s="31"/>
      <c r="BM123" s="31"/>
      <c r="BN123" s="31"/>
      <c r="BO123" s="31"/>
      <c r="BP123" s="31"/>
      <c r="BQ123" s="31"/>
      <c r="BR123" s="31"/>
      <c r="BS123" s="31"/>
      <c r="BT123" s="25">
        <f t="shared" si="8"/>
        <v>10</v>
      </c>
      <c r="BU123" s="28">
        <f t="shared" si="5"/>
        <v>10</v>
      </c>
      <c r="BV123" s="25">
        <f t="shared" si="10"/>
        <v>1833.3333333333335</v>
      </c>
      <c r="BW123" s="25">
        <f t="shared" si="9"/>
        <v>18333.333333333336</v>
      </c>
      <c r="BX123" s="25">
        <v>18333.34</v>
      </c>
      <c r="BY123" s="32">
        <v>2200</v>
      </c>
      <c r="BZ123" s="22">
        <f t="shared" si="11"/>
        <v>22000</v>
      </c>
      <c r="CA123" s="20" t="s">
        <v>83</v>
      </c>
    </row>
    <row r="124" spans="1:79" ht="29.25" customHeight="1" x14ac:dyDescent="0.25">
      <c r="A124" s="23">
        <v>123</v>
      </c>
      <c r="B124" s="30" t="s">
        <v>329</v>
      </c>
      <c r="C124" s="25" t="s">
        <v>329</v>
      </c>
      <c r="D124" s="30" t="s">
        <v>330</v>
      </c>
      <c r="E124" s="29" t="s">
        <v>82</v>
      </c>
      <c r="F124" s="25"/>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3"/>
      <c r="AG124" s="34"/>
      <c r="AH124" s="31"/>
      <c r="AI124" s="31"/>
      <c r="AJ124" s="31"/>
      <c r="AK124" s="33">
        <v>1</v>
      </c>
      <c r="AL124" s="31"/>
      <c r="AM124" s="31"/>
      <c r="AN124" s="34"/>
      <c r="AO124" s="34"/>
      <c r="AP124" s="31"/>
      <c r="AQ124" s="31"/>
      <c r="AR124" s="33"/>
      <c r="AS124" s="33"/>
      <c r="AT124" s="33"/>
      <c r="AU124" s="31"/>
      <c r="AV124" s="35"/>
      <c r="AW124" s="31"/>
      <c r="AX124" s="34"/>
      <c r="AY124" s="33"/>
      <c r="AZ124" s="31"/>
      <c r="BA124" s="31"/>
      <c r="BB124" s="31"/>
      <c r="BC124" s="31"/>
      <c r="BD124" s="31"/>
      <c r="BE124" s="31"/>
      <c r="BF124" s="31"/>
      <c r="BG124" s="31"/>
      <c r="BH124" s="31"/>
      <c r="BI124" s="31"/>
      <c r="BJ124" s="31"/>
      <c r="BK124" s="31"/>
      <c r="BL124" s="31"/>
      <c r="BM124" s="31"/>
      <c r="BN124" s="31"/>
      <c r="BO124" s="31"/>
      <c r="BP124" s="31"/>
      <c r="BQ124" s="31"/>
      <c r="BR124" s="31"/>
      <c r="BS124" s="31"/>
      <c r="BT124" s="25">
        <f t="shared" si="8"/>
        <v>1</v>
      </c>
      <c r="BU124" s="28">
        <f t="shared" si="5"/>
        <v>1</v>
      </c>
      <c r="BV124" s="25">
        <f t="shared" si="10"/>
        <v>33333</v>
      </c>
      <c r="BW124" s="25">
        <f t="shared" si="9"/>
        <v>33333</v>
      </c>
      <c r="BX124" s="25">
        <v>33333</v>
      </c>
      <c r="BY124" s="32">
        <v>39999.599999999999</v>
      </c>
      <c r="BZ124" s="22">
        <f t="shared" si="11"/>
        <v>39999.599999999999</v>
      </c>
      <c r="CA124" s="20" t="s">
        <v>331</v>
      </c>
    </row>
    <row r="125" spans="1:79" ht="29.25" customHeight="1" x14ac:dyDescent="0.25">
      <c r="A125" s="29">
        <v>124</v>
      </c>
      <c r="B125" s="30" t="s">
        <v>332</v>
      </c>
      <c r="C125" s="25" t="s">
        <v>332</v>
      </c>
      <c r="D125" s="30" t="s">
        <v>333</v>
      </c>
      <c r="E125" s="29" t="s">
        <v>82</v>
      </c>
      <c r="F125" s="25"/>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3"/>
      <c r="AG125" s="34"/>
      <c r="AH125" s="31"/>
      <c r="AI125" s="31"/>
      <c r="AJ125" s="31"/>
      <c r="AK125" s="33">
        <v>1</v>
      </c>
      <c r="AL125" s="31"/>
      <c r="AM125" s="31"/>
      <c r="AN125" s="34"/>
      <c r="AO125" s="34"/>
      <c r="AP125" s="31"/>
      <c r="AQ125" s="31"/>
      <c r="AR125" s="33"/>
      <c r="AS125" s="33"/>
      <c r="AT125" s="33"/>
      <c r="AU125" s="31"/>
      <c r="AV125" s="35"/>
      <c r="AW125" s="31"/>
      <c r="AX125" s="34"/>
      <c r="AY125" s="33"/>
      <c r="AZ125" s="31"/>
      <c r="BA125" s="31"/>
      <c r="BB125" s="31"/>
      <c r="BC125" s="31"/>
      <c r="BD125" s="31"/>
      <c r="BE125" s="31"/>
      <c r="BF125" s="31"/>
      <c r="BG125" s="31"/>
      <c r="BH125" s="31"/>
      <c r="BI125" s="31"/>
      <c r="BJ125" s="31"/>
      <c r="BK125" s="31"/>
      <c r="BL125" s="31"/>
      <c r="BM125" s="31"/>
      <c r="BN125" s="31"/>
      <c r="BO125" s="31"/>
      <c r="BP125" s="31"/>
      <c r="BQ125" s="31"/>
      <c r="BR125" s="31"/>
      <c r="BS125" s="31"/>
      <c r="BT125" s="25">
        <f t="shared" si="8"/>
        <v>1</v>
      </c>
      <c r="BU125" s="28">
        <f t="shared" si="5"/>
        <v>1</v>
      </c>
      <c r="BV125" s="25">
        <f t="shared" si="10"/>
        <v>33333</v>
      </c>
      <c r="BW125" s="25">
        <f t="shared" si="9"/>
        <v>33333</v>
      </c>
      <c r="BX125" s="25">
        <v>33333</v>
      </c>
      <c r="BY125" s="32">
        <v>39999.599999999999</v>
      </c>
      <c r="BZ125" s="22">
        <f t="shared" si="11"/>
        <v>39999.599999999999</v>
      </c>
      <c r="CA125" s="20" t="s">
        <v>334</v>
      </c>
    </row>
    <row r="126" spans="1:79" ht="29.25" customHeight="1" x14ac:dyDescent="0.25">
      <c r="A126" s="23">
        <v>125</v>
      </c>
      <c r="B126" s="30" t="s">
        <v>335</v>
      </c>
      <c r="C126" s="25" t="s">
        <v>335</v>
      </c>
      <c r="D126" s="30" t="s">
        <v>336</v>
      </c>
      <c r="E126" s="29" t="s">
        <v>82</v>
      </c>
      <c r="F126" s="25"/>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3"/>
      <c r="AG126" s="34"/>
      <c r="AH126" s="31"/>
      <c r="AI126" s="31"/>
      <c r="AJ126" s="31"/>
      <c r="AK126" s="33">
        <v>2500</v>
      </c>
      <c r="AL126" s="31"/>
      <c r="AM126" s="31"/>
      <c r="AN126" s="34"/>
      <c r="AO126" s="34"/>
      <c r="AP126" s="31"/>
      <c r="AQ126" s="31"/>
      <c r="AR126" s="33"/>
      <c r="AS126" s="33"/>
      <c r="AT126" s="33"/>
      <c r="AU126" s="31"/>
      <c r="AV126" s="35"/>
      <c r="AW126" s="31"/>
      <c r="AX126" s="34"/>
      <c r="AY126" s="33"/>
      <c r="AZ126" s="33"/>
      <c r="BA126" s="31"/>
      <c r="BB126" s="31"/>
      <c r="BC126" s="31"/>
      <c r="BD126" s="31"/>
      <c r="BE126" s="31"/>
      <c r="BF126" s="31"/>
      <c r="BG126" s="31"/>
      <c r="BH126" s="31"/>
      <c r="BI126" s="31"/>
      <c r="BJ126" s="31"/>
      <c r="BK126" s="31"/>
      <c r="BL126" s="31"/>
      <c r="BM126" s="31"/>
      <c r="BN126" s="31"/>
      <c r="BO126" s="31"/>
      <c r="BP126" s="31"/>
      <c r="BQ126" s="31"/>
      <c r="BR126" s="31"/>
      <c r="BS126" s="31"/>
      <c r="BT126" s="25">
        <f t="shared" si="8"/>
        <v>2500</v>
      </c>
      <c r="BU126" s="28">
        <f t="shared" ref="BU126:BU129" si="12">SUM(G126:BL126)</f>
        <v>2500</v>
      </c>
      <c r="BV126" s="25">
        <f t="shared" si="10"/>
        <v>500</v>
      </c>
      <c r="BW126" s="25">
        <f t="shared" si="9"/>
        <v>1250000</v>
      </c>
      <c r="BX126" s="25">
        <v>1250000</v>
      </c>
      <c r="BY126" s="32">
        <v>600</v>
      </c>
      <c r="BZ126" s="22">
        <f t="shared" si="11"/>
        <v>1500000</v>
      </c>
      <c r="CA126" s="20" t="s">
        <v>337</v>
      </c>
    </row>
    <row r="127" spans="1:79" ht="29.25" customHeight="1" x14ac:dyDescent="0.25">
      <c r="A127" s="29">
        <v>126</v>
      </c>
      <c r="B127" s="30" t="s">
        <v>298</v>
      </c>
      <c r="C127" s="25" t="s">
        <v>298</v>
      </c>
      <c r="D127" s="30" t="s">
        <v>338</v>
      </c>
      <c r="E127" s="29" t="s">
        <v>82</v>
      </c>
      <c r="F127" s="25"/>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3">
        <v>400</v>
      </c>
      <c r="AG127" s="34"/>
      <c r="AH127" s="31"/>
      <c r="AI127" s="31"/>
      <c r="AJ127" s="31"/>
      <c r="AK127" s="33"/>
      <c r="AL127" s="31"/>
      <c r="AM127" s="31"/>
      <c r="AN127" s="34"/>
      <c r="AO127" s="34"/>
      <c r="AP127" s="31"/>
      <c r="AQ127" s="31"/>
      <c r="AR127" s="33"/>
      <c r="AS127" s="33"/>
      <c r="AT127" s="33"/>
      <c r="AU127" s="31"/>
      <c r="AV127" s="35"/>
      <c r="AW127" s="31"/>
      <c r="AX127" s="34"/>
      <c r="AY127" s="33"/>
      <c r="AZ127" s="33"/>
      <c r="BA127" s="31"/>
      <c r="BB127" s="31"/>
      <c r="BC127" s="31"/>
      <c r="BD127" s="31"/>
      <c r="BE127" s="31"/>
      <c r="BF127" s="31"/>
      <c r="BG127" s="31"/>
      <c r="BH127" s="31"/>
      <c r="BI127" s="31"/>
      <c r="BJ127" s="31"/>
      <c r="BK127" s="31"/>
      <c r="BL127" s="31"/>
      <c r="BM127" s="31"/>
      <c r="BN127" s="31"/>
      <c r="BO127" s="31"/>
      <c r="BP127" s="31"/>
      <c r="BQ127" s="31"/>
      <c r="BR127" s="31"/>
      <c r="BS127" s="31"/>
      <c r="BT127" s="25">
        <f t="shared" ref="BT127:BT142" si="13">SUM(F127:BS127)</f>
        <v>400</v>
      </c>
      <c r="BU127" s="28">
        <f t="shared" si="12"/>
        <v>400</v>
      </c>
      <c r="BV127" s="25">
        <f t="shared" si="10"/>
        <v>2.2166666666666668</v>
      </c>
      <c r="BW127" s="25">
        <f t="shared" ref="BW127:BW142" si="14">BT127*BV127</f>
        <v>886.66666666666674</v>
      </c>
      <c r="BX127" s="25">
        <v>886.67</v>
      </c>
      <c r="BY127" s="32">
        <v>2.66</v>
      </c>
      <c r="BZ127" s="22">
        <f t="shared" si="11"/>
        <v>1064</v>
      </c>
      <c r="CA127" s="20" t="s">
        <v>339</v>
      </c>
    </row>
    <row r="128" spans="1:79" ht="29.25" customHeight="1" x14ac:dyDescent="0.25">
      <c r="A128" s="23">
        <v>127</v>
      </c>
      <c r="B128" s="30" t="s">
        <v>340</v>
      </c>
      <c r="C128" s="25" t="s">
        <v>340</v>
      </c>
      <c r="D128" s="30" t="s">
        <v>341</v>
      </c>
      <c r="E128" s="29" t="s">
        <v>82</v>
      </c>
      <c r="F128" s="25"/>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3"/>
      <c r="AG128" s="34"/>
      <c r="AH128" s="31"/>
      <c r="AI128" s="31"/>
      <c r="AJ128" s="31"/>
      <c r="AK128" s="33"/>
      <c r="AL128" s="31"/>
      <c r="AM128" s="31"/>
      <c r="AN128" s="34"/>
      <c r="AO128" s="34"/>
      <c r="AP128" s="31"/>
      <c r="AQ128" s="31"/>
      <c r="AR128" s="33"/>
      <c r="AS128" s="33"/>
      <c r="AT128" s="33"/>
      <c r="AU128" s="31"/>
      <c r="AV128" s="35"/>
      <c r="AW128" s="31"/>
      <c r="AX128" s="34"/>
      <c r="AY128" s="33"/>
      <c r="AZ128" s="33"/>
      <c r="BA128" s="31"/>
      <c r="BB128" s="31"/>
      <c r="BC128" s="31"/>
      <c r="BD128" s="31"/>
      <c r="BE128" s="31"/>
      <c r="BF128" s="31"/>
      <c r="BG128" s="31"/>
      <c r="BH128" s="31"/>
      <c r="BI128" s="31">
        <v>625</v>
      </c>
      <c r="BJ128" s="31"/>
      <c r="BK128" s="31"/>
      <c r="BL128" s="31"/>
      <c r="BM128" s="31"/>
      <c r="BN128" s="31"/>
      <c r="BO128" s="31"/>
      <c r="BP128" s="31"/>
      <c r="BQ128" s="31"/>
      <c r="BR128" s="31"/>
      <c r="BS128" s="31"/>
      <c r="BT128" s="25">
        <f t="shared" si="13"/>
        <v>625</v>
      </c>
      <c r="BU128" s="28">
        <f t="shared" si="12"/>
        <v>625</v>
      </c>
      <c r="BV128" s="25">
        <f t="shared" si="10"/>
        <v>31.25</v>
      </c>
      <c r="BW128" s="25">
        <f t="shared" si="14"/>
        <v>19531.25</v>
      </c>
      <c r="BX128" s="25">
        <v>19531.25</v>
      </c>
      <c r="BY128" s="32">
        <v>37.5</v>
      </c>
      <c r="BZ128" s="22">
        <f t="shared" si="11"/>
        <v>23437.5</v>
      </c>
      <c r="CA128" s="20" t="s">
        <v>342</v>
      </c>
    </row>
    <row r="129" spans="1:79" ht="29.25" customHeight="1" x14ac:dyDescent="0.25">
      <c r="A129" s="29">
        <v>128</v>
      </c>
      <c r="B129" s="30" t="s">
        <v>343</v>
      </c>
      <c r="C129" s="25" t="s">
        <v>343</v>
      </c>
      <c r="D129" s="30" t="s">
        <v>344</v>
      </c>
      <c r="E129" s="29" t="s">
        <v>82</v>
      </c>
      <c r="F129" s="25"/>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3"/>
      <c r="AG129" s="34"/>
      <c r="AH129" s="31"/>
      <c r="AI129" s="31"/>
      <c r="AJ129" s="31"/>
      <c r="AK129" s="33"/>
      <c r="AL129" s="31"/>
      <c r="AM129" s="31"/>
      <c r="AN129" s="34"/>
      <c r="AO129" s="34"/>
      <c r="AP129" s="31"/>
      <c r="AQ129" s="31"/>
      <c r="AR129" s="33"/>
      <c r="AS129" s="33"/>
      <c r="AT129" s="33"/>
      <c r="AU129" s="31"/>
      <c r="AV129" s="35"/>
      <c r="AW129" s="31"/>
      <c r="AX129" s="34"/>
      <c r="AY129" s="33"/>
      <c r="AZ129" s="33"/>
      <c r="BA129" s="31"/>
      <c r="BB129" s="31"/>
      <c r="BC129" s="31"/>
      <c r="BD129" s="31"/>
      <c r="BE129" s="31"/>
      <c r="BF129" s="31"/>
      <c r="BG129" s="31"/>
      <c r="BH129" s="31"/>
      <c r="BI129" s="31">
        <v>1500</v>
      </c>
      <c r="BJ129" s="31"/>
      <c r="BK129" s="31"/>
      <c r="BL129" s="31"/>
      <c r="BM129" s="31"/>
      <c r="BN129" s="31"/>
      <c r="BO129" s="31"/>
      <c r="BP129" s="31"/>
      <c r="BQ129" s="31"/>
      <c r="BR129" s="31"/>
      <c r="BS129" s="31"/>
      <c r="BT129" s="25">
        <f t="shared" si="13"/>
        <v>1500</v>
      </c>
      <c r="BU129" s="28">
        <f t="shared" si="12"/>
        <v>1500</v>
      </c>
      <c r="BV129" s="25">
        <f t="shared" si="10"/>
        <v>16.666666666666668</v>
      </c>
      <c r="BW129" s="25">
        <f t="shared" si="14"/>
        <v>25000</v>
      </c>
      <c r="BX129" s="25">
        <v>25000</v>
      </c>
      <c r="BY129" s="32">
        <v>20</v>
      </c>
      <c r="BZ129" s="22">
        <f t="shared" si="11"/>
        <v>30000</v>
      </c>
      <c r="CA129" s="20" t="s">
        <v>345</v>
      </c>
    </row>
    <row r="130" spans="1:79" customFormat="1" ht="29.25" customHeight="1" x14ac:dyDescent="0.25">
      <c r="A130" s="23">
        <v>129</v>
      </c>
      <c r="B130" s="80" t="s">
        <v>346</v>
      </c>
      <c r="C130" s="25" t="s">
        <v>347</v>
      </c>
      <c r="D130" s="30" t="s">
        <v>348</v>
      </c>
      <c r="E130" s="29" t="s">
        <v>82</v>
      </c>
      <c r="F130" s="79">
        <v>10</v>
      </c>
      <c r="G130" s="27"/>
      <c r="H130" s="79"/>
      <c r="I130" s="79"/>
      <c r="J130" s="27"/>
      <c r="K130" s="79"/>
      <c r="L130" s="79">
        <v>100</v>
      </c>
      <c r="M130" s="27"/>
      <c r="N130" s="27"/>
      <c r="O130" s="55"/>
      <c r="P130" s="55"/>
      <c r="Q130" s="55"/>
      <c r="R130" s="55"/>
      <c r="S130" s="55"/>
      <c r="T130" s="79"/>
      <c r="U130" s="79"/>
      <c r="V130" s="79">
        <v>200</v>
      </c>
      <c r="W130" s="55"/>
      <c r="X130" s="55"/>
      <c r="Y130" s="79">
        <v>10</v>
      </c>
      <c r="Z130" s="79"/>
      <c r="AA130" s="79"/>
      <c r="AB130" s="79">
        <v>50</v>
      </c>
      <c r="AC130" s="79"/>
      <c r="AD130" s="25"/>
      <c r="AE130" s="79"/>
      <c r="AF130" s="79"/>
      <c r="AG130" s="26"/>
      <c r="AH130" s="79"/>
      <c r="AI130" s="79">
        <v>100</v>
      </c>
      <c r="AJ130" s="79"/>
      <c r="AK130" s="79">
        <v>3400</v>
      </c>
      <c r="AL130" s="79">
        <v>500</v>
      </c>
      <c r="AM130" s="79">
        <v>2000</v>
      </c>
      <c r="AN130" s="79"/>
      <c r="AO130" s="26"/>
      <c r="AP130" s="79">
        <v>50</v>
      </c>
      <c r="AQ130" s="25"/>
      <c r="AR130" s="79"/>
      <c r="AS130" s="79"/>
      <c r="AT130" s="79"/>
      <c r="AU130" s="79">
        <v>50</v>
      </c>
      <c r="AV130" s="27"/>
      <c r="AW130" s="79"/>
      <c r="AX130" s="79">
        <v>50</v>
      </c>
      <c r="AY130" s="79">
        <v>60</v>
      </c>
      <c r="AZ130" s="79"/>
      <c r="BA130" s="79"/>
      <c r="BB130" s="79"/>
      <c r="BC130" s="79">
        <v>40</v>
      </c>
      <c r="BD130" s="79"/>
      <c r="BE130" s="79">
        <v>200</v>
      </c>
      <c r="BF130" s="79">
        <v>100</v>
      </c>
      <c r="BG130" s="79">
        <v>50</v>
      </c>
      <c r="BH130" s="79"/>
      <c r="BI130" s="79">
        <v>200</v>
      </c>
      <c r="BJ130" s="79"/>
      <c r="BK130" s="79"/>
      <c r="BL130" s="79"/>
      <c r="BM130" s="79"/>
      <c r="BN130" s="79">
        <v>5</v>
      </c>
      <c r="BO130" s="79">
        <v>20</v>
      </c>
      <c r="BP130" s="79"/>
      <c r="BQ130" s="79">
        <v>1000</v>
      </c>
      <c r="BR130" s="79"/>
      <c r="BS130" s="79">
        <v>50</v>
      </c>
      <c r="BT130" s="25">
        <f t="shared" si="13"/>
        <v>8245</v>
      </c>
      <c r="BU130" s="32"/>
      <c r="BV130" s="79">
        <v>8.2030999999999992</v>
      </c>
      <c r="BW130" s="25">
        <f t="shared" si="14"/>
        <v>67634.559499999988</v>
      </c>
      <c r="BX130" s="25">
        <v>67634.559999999998</v>
      </c>
      <c r="BY130" s="32"/>
      <c r="BZ130" s="79">
        <v>8245</v>
      </c>
      <c r="CA130" s="20"/>
    </row>
    <row r="131" spans="1:79" customFormat="1" ht="29.25" customHeight="1" x14ac:dyDescent="0.25">
      <c r="A131" s="29">
        <v>130</v>
      </c>
      <c r="B131" s="80" t="s">
        <v>349</v>
      </c>
      <c r="C131" s="25" t="s">
        <v>350</v>
      </c>
      <c r="D131" s="30" t="s">
        <v>351</v>
      </c>
      <c r="E131" s="29" t="s">
        <v>82</v>
      </c>
      <c r="F131" s="79"/>
      <c r="G131" s="27"/>
      <c r="H131" s="79"/>
      <c r="I131" s="79"/>
      <c r="J131" s="27"/>
      <c r="K131" s="79"/>
      <c r="L131" s="79"/>
      <c r="M131" s="27"/>
      <c r="N131" s="27"/>
      <c r="O131" s="55"/>
      <c r="P131" s="55"/>
      <c r="Q131" s="55"/>
      <c r="R131" s="55"/>
      <c r="S131" s="55"/>
      <c r="T131" s="79"/>
      <c r="U131" s="79">
        <v>20</v>
      </c>
      <c r="V131" s="79"/>
      <c r="W131" s="55"/>
      <c r="X131" s="55"/>
      <c r="Y131" s="79"/>
      <c r="Z131" s="79">
        <v>1000</v>
      </c>
      <c r="AA131" s="79">
        <v>500</v>
      </c>
      <c r="AB131" s="79">
        <v>550</v>
      </c>
      <c r="AC131" s="79">
        <v>400</v>
      </c>
      <c r="AD131" s="25"/>
      <c r="AE131" s="79">
        <v>10</v>
      </c>
      <c r="AF131" s="79"/>
      <c r="AG131" s="26"/>
      <c r="AH131" s="79">
        <v>50</v>
      </c>
      <c r="AI131" s="79">
        <v>20</v>
      </c>
      <c r="AJ131" s="79">
        <v>20</v>
      </c>
      <c r="AK131" s="79">
        <v>1000</v>
      </c>
      <c r="AL131" s="79"/>
      <c r="AM131" s="79">
        <v>50</v>
      </c>
      <c r="AN131" s="79"/>
      <c r="AO131" s="26"/>
      <c r="AP131" s="79">
        <v>400</v>
      </c>
      <c r="AQ131" s="25"/>
      <c r="AR131" s="79"/>
      <c r="AS131" s="79"/>
      <c r="AT131" s="79"/>
      <c r="AU131" s="79"/>
      <c r="AV131" s="27"/>
      <c r="AW131" s="79">
        <v>10</v>
      </c>
      <c r="AX131" s="79"/>
      <c r="AY131" s="79"/>
      <c r="AZ131" s="79"/>
      <c r="BA131" s="79"/>
      <c r="BB131" s="79"/>
      <c r="BC131" s="79"/>
      <c r="BD131" s="79"/>
      <c r="BE131" s="79"/>
      <c r="BF131" s="79"/>
      <c r="BG131" s="79"/>
      <c r="BH131" s="79">
        <v>10</v>
      </c>
      <c r="BI131" s="79"/>
      <c r="BJ131" s="79"/>
      <c r="BK131" s="79">
        <v>20</v>
      </c>
      <c r="BL131" s="79"/>
      <c r="BM131" s="79">
        <v>5</v>
      </c>
      <c r="BN131" s="79"/>
      <c r="BO131" s="79">
        <v>10</v>
      </c>
      <c r="BP131" s="79">
        <v>30</v>
      </c>
      <c r="BQ131" s="79"/>
      <c r="BR131" s="79"/>
      <c r="BS131" s="79"/>
      <c r="BT131" s="25">
        <f t="shared" si="13"/>
        <v>4105</v>
      </c>
      <c r="BU131" s="32"/>
      <c r="BV131" s="79">
        <v>7.2100000000000009</v>
      </c>
      <c r="BW131" s="25">
        <f t="shared" si="14"/>
        <v>29597.050000000003</v>
      </c>
      <c r="BX131" s="25">
        <v>29597.05</v>
      </c>
      <c r="BY131" s="32"/>
      <c r="BZ131" s="79">
        <v>4105</v>
      </c>
      <c r="CA131" s="20"/>
    </row>
    <row r="132" spans="1:79" customFormat="1" ht="29.25" customHeight="1" x14ac:dyDescent="0.25">
      <c r="A132" s="23">
        <v>131</v>
      </c>
      <c r="B132" s="80" t="s">
        <v>352</v>
      </c>
      <c r="C132" s="25" t="s">
        <v>353</v>
      </c>
      <c r="D132" s="30" t="s">
        <v>354</v>
      </c>
      <c r="E132" s="29" t="s">
        <v>82</v>
      </c>
      <c r="F132" s="79"/>
      <c r="G132" s="27"/>
      <c r="H132" s="27"/>
      <c r="I132" s="79">
        <v>5</v>
      </c>
      <c r="J132" s="27"/>
      <c r="K132" s="79"/>
      <c r="L132" s="79"/>
      <c r="M132" s="27"/>
      <c r="N132" s="27"/>
      <c r="O132" s="55"/>
      <c r="P132" s="55"/>
      <c r="Q132" s="55"/>
      <c r="R132" s="55"/>
      <c r="S132" s="55"/>
      <c r="T132" s="79"/>
      <c r="U132" s="79">
        <v>30</v>
      </c>
      <c r="V132" s="79">
        <v>50</v>
      </c>
      <c r="W132" s="55"/>
      <c r="X132" s="55"/>
      <c r="Y132" s="79"/>
      <c r="Z132" s="79"/>
      <c r="AA132" s="79"/>
      <c r="AB132" s="79">
        <v>187</v>
      </c>
      <c r="AC132" s="79"/>
      <c r="AD132" s="25"/>
      <c r="AE132" s="79">
        <v>10</v>
      </c>
      <c r="AF132" s="79">
        <v>500</v>
      </c>
      <c r="AG132" s="26"/>
      <c r="AH132" s="79"/>
      <c r="AI132" s="79"/>
      <c r="AJ132" s="79"/>
      <c r="AK132" s="79">
        <v>100</v>
      </c>
      <c r="AL132" s="79"/>
      <c r="AM132" s="79">
        <v>30</v>
      </c>
      <c r="AN132" s="79"/>
      <c r="AO132" s="26"/>
      <c r="AP132" s="79"/>
      <c r="AQ132" s="25"/>
      <c r="AR132" s="79"/>
      <c r="AS132" s="79"/>
      <c r="AT132" s="79">
        <v>10</v>
      </c>
      <c r="AU132" s="79"/>
      <c r="AV132" s="27"/>
      <c r="AW132" s="79">
        <v>10</v>
      </c>
      <c r="AX132" s="79"/>
      <c r="AY132" s="79">
        <v>100</v>
      </c>
      <c r="AZ132" s="79">
        <v>30</v>
      </c>
      <c r="BA132" s="79">
        <v>300</v>
      </c>
      <c r="BB132" s="79"/>
      <c r="BC132" s="79"/>
      <c r="BD132" s="79"/>
      <c r="BE132" s="79"/>
      <c r="BF132" s="79"/>
      <c r="BG132" s="79">
        <v>5</v>
      </c>
      <c r="BH132" s="79">
        <v>200</v>
      </c>
      <c r="BI132" s="79"/>
      <c r="BJ132" s="79">
        <v>20</v>
      </c>
      <c r="BK132" s="79">
        <v>20</v>
      </c>
      <c r="BL132" s="79">
        <v>10</v>
      </c>
      <c r="BM132" s="79"/>
      <c r="BN132" s="79"/>
      <c r="BO132" s="79">
        <v>10</v>
      </c>
      <c r="BP132" s="79">
        <v>30</v>
      </c>
      <c r="BQ132" s="79"/>
      <c r="BR132" s="79"/>
      <c r="BS132" s="79"/>
      <c r="BT132" s="25">
        <f t="shared" si="13"/>
        <v>1657</v>
      </c>
      <c r="BU132" s="32"/>
      <c r="BV132" s="79">
        <v>14</v>
      </c>
      <c r="BW132" s="25">
        <f t="shared" si="14"/>
        <v>23198</v>
      </c>
      <c r="BX132" s="25">
        <v>23198</v>
      </c>
      <c r="BY132" s="32"/>
      <c r="BZ132" s="79">
        <v>1657</v>
      </c>
      <c r="CA132" s="20"/>
    </row>
    <row r="133" spans="1:79" customFormat="1" ht="29.25" customHeight="1" x14ac:dyDescent="0.25">
      <c r="A133" s="29">
        <v>132</v>
      </c>
      <c r="B133" s="80" t="s">
        <v>355</v>
      </c>
      <c r="C133" s="25" t="s">
        <v>356</v>
      </c>
      <c r="D133" s="30" t="s">
        <v>357</v>
      </c>
      <c r="E133" s="29" t="s">
        <v>82</v>
      </c>
      <c r="F133" s="79"/>
      <c r="G133" s="27"/>
      <c r="H133" s="79"/>
      <c r="I133" s="79"/>
      <c r="J133" s="27"/>
      <c r="K133" s="79"/>
      <c r="L133" s="79"/>
      <c r="M133" s="27"/>
      <c r="N133" s="27"/>
      <c r="O133" s="55"/>
      <c r="P133" s="55"/>
      <c r="Q133" s="55"/>
      <c r="R133" s="55"/>
      <c r="S133" s="55"/>
      <c r="T133" s="79"/>
      <c r="U133" s="79"/>
      <c r="V133" s="79"/>
      <c r="W133" s="55"/>
      <c r="X133" s="55"/>
      <c r="Y133" s="79"/>
      <c r="Z133" s="79"/>
      <c r="AA133" s="79"/>
      <c r="AB133" s="79"/>
      <c r="AC133" s="79"/>
      <c r="AD133" s="25"/>
      <c r="AE133" s="79"/>
      <c r="AF133" s="79"/>
      <c r="AG133" s="26"/>
      <c r="AH133" s="79"/>
      <c r="AI133" s="79">
        <v>100</v>
      </c>
      <c r="AJ133" s="79"/>
      <c r="AK133" s="79">
        <v>30</v>
      </c>
      <c r="AL133" s="79"/>
      <c r="AM133" s="79"/>
      <c r="AN133" s="79"/>
      <c r="AO133" s="26"/>
      <c r="AP133" s="79"/>
      <c r="AQ133" s="25"/>
      <c r="AR133" s="79"/>
      <c r="AS133" s="79"/>
      <c r="AT133" s="79"/>
      <c r="AU133" s="79"/>
      <c r="AV133" s="27"/>
      <c r="AW133" s="79"/>
      <c r="AX133" s="79"/>
      <c r="AY133" s="79"/>
      <c r="AZ133" s="79"/>
      <c r="BA133" s="79"/>
      <c r="BB133" s="79">
        <v>100</v>
      </c>
      <c r="BC133" s="79"/>
      <c r="BD133" s="79"/>
      <c r="BE133" s="79"/>
      <c r="BF133" s="79"/>
      <c r="BG133" s="79">
        <v>20</v>
      </c>
      <c r="BH133" s="79"/>
      <c r="BI133" s="79"/>
      <c r="BJ133" s="79"/>
      <c r="BK133" s="79">
        <v>20</v>
      </c>
      <c r="BL133" s="79"/>
      <c r="BM133" s="79"/>
      <c r="BN133" s="79"/>
      <c r="BO133" s="79"/>
      <c r="BP133" s="79"/>
      <c r="BQ133" s="79"/>
      <c r="BR133" s="79"/>
      <c r="BS133" s="79"/>
      <c r="BT133" s="25">
        <f t="shared" si="13"/>
        <v>270</v>
      </c>
      <c r="BU133" s="32"/>
      <c r="BV133" s="79">
        <v>13.5</v>
      </c>
      <c r="BW133" s="25">
        <f t="shared" si="14"/>
        <v>3645</v>
      </c>
      <c r="BX133" s="25">
        <v>3645</v>
      </c>
      <c r="BY133" s="32"/>
      <c r="BZ133" s="79">
        <v>270</v>
      </c>
      <c r="CA133" s="20"/>
    </row>
    <row r="134" spans="1:79" customFormat="1" ht="29.25" customHeight="1" x14ac:dyDescent="0.25">
      <c r="A134" s="23">
        <v>133</v>
      </c>
      <c r="B134" s="80" t="s">
        <v>358</v>
      </c>
      <c r="C134" s="25" t="s">
        <v>359</v>
      </c>
      <c r="D134" s="30" t="s">
        <v>360</v>
      </c>
      <c r="E134" s="29" t="s">
        <v>82</v>
      </c>
      <c r="F134" s="79"/>
      <c r="G134" s="27"/>
      <c r="H134" s="79"/>
      <c r="I134" s="79"/>
      <c r="J134" s="27"/>
      <c r="K134" s="79"/>
      <c r="L134" s="79"/>
      <c r="M134" s="27"/>
      <c r="N134" s="27"/>
      <c r="O134" s="55"/>
      <c r="P134" s="55"/>
      <c r="Q134" s="55"/>
      <c r="R134" s="55"/>
      <c r="S134" s="55"/>
      <c r="T134" s="79"/>
      <c r="U134" s="79"/>
      <c r="V134" s="79"/>
      <c r="W134" s="55"/>
      <c r="X134" s="55"/>
      <c r="Y134" s="79"/>
      <c r="Z134" s="79">
        <v>100</v>
      </c>
      <c r="AA134" s="79">
        <v>100</v>
      </c>
      <c r="AB134" s="79">
        <v>50</v>
      </c>
      <c r="AC134" s="79">
        <v>300</v>
      </c>
      <c r="AD134" s="25"/>
      <c r="AE134" s="79"/>
      <c r="AF134" s="79"/>
      <c r="AG134" s="26"/>
      <c r="AH134" s="79"/>
      <c r="AI134" s="79"/>
      <c r="AJ134" s="79"/>
      <c r="AK134" s="79">
        <v>350</v>
      </c>
      <c r="AL134" s="79">
        <v>10</v>
      </c>
      <c r="AM134" s="79"/>
      <c r="AN134" s="79"/>
      <c r="AO134" s="26"/>
      <c r="AP134" s="79"/>
      <c r="AQ134" s="25"/>
      <c r="AR134" s="79"/>
      <c r="AS134" s="79"/>
      <c r="AT134" s="79"/>
      <c r="AU134" s="79">
        <v>1050</v>
      </c>
      <c r="AV134" s="27"/>
      <c r="AW134" s="79"/>
      <c r="AX134" s="79"/>
      <c r="AY134" s="79"/>
      <c r="AZ134" s="79">
        <v>20</v>
      </c>
      <c r="BA134" s="79"/>
      <c r="BB134" s="79">
        <v>100</v>
      </c>
      <c r="BC134" s="79">
        <v>30</v>
      </c>
      <c r="BD134" s="79">
        <v>100</v>
      </c>
      <c r="BE134" s="79"/>
      <c r="BF134" s="79"/>
      <c r="BG134" s="79">
        <v>20</v>
      </c>
      <c r="BH134" s="79"/>
      <c r="BI134" s="79"/>
      <c r="BJ134" s="79">
        <v>20</v>
      </c>
      <c r="BK134" s="79">
        <v>50</v>
      </c>
      <c r="BL134" s="79"/>
      <c r="BM134" s="79"/>
      <c r="BN134" s="79"/>
      <c r="BO134" s="79"/>
      <c r="BP134" s="79">
        <v>50</v>
      </c>
      <c r="BQ134" s="79"/>
      <c r="BR134" s="79">
        <v>100</v>
      </c>
      <c r="BS134" s="79"/>
      <c r="BT134" s="25">
        <f t="shared" si="13"/>
        <v>2450</v>
      </c>
      <c r="BU134" s="32"/>
      <c r="BV134" s="79">
        <v>57.125</v>
      </c>
      <c r="BW134" s="25">
        <f t="shared" si="14"/>
        <v>139956.25</v>
      </c>
      <c r="BX134" s="25">
        <v>139956.25</v>
      </c>
      <c r="BY134" s="32"/>
      <c r="BZ134" s="79">
        <v>2450</v>
      </c>
      <c r="CA134" s="20"/>
    </row>
    <row r="135" spans="1:79" customFormat="1" ht="29.25" customHeight="1" x14ac:dyDescent="0.25">
      <c r="A135" s="29">
        <v>134</v>
      </c>
      <c r="B135" s="80" t="s">
        <v>361</v>
      </c>
      <c r="C135" s="25" t="s">
        <v>362</v>
      </c>
      <c r="D135" s="30" t="s">
        <v>363</v>
      </c>
      <c r="E135" s="29" t="s">
        <v>82</v>
      </c>
      <c r="F135" s="79"/>
      <c r="G135" s="27"/>
      <c r="H135" s="79"/>
      <c r="I135" s="79"/>
      <c r="J135" s="27"/>
      <c r="K135" s="79"/>
      <c r="L135" s="79"/>
      <c r="M135" s="27"/>
      <c r="N135" s="27"/>
      <c r="O135" s="55"/>
      <c r="P135" s="55"/>
      <c r="Q135" s="55"/>
      <c r="R135" s="55"/>
      <c r="S135" s="55"/>
      <c r="T135" s="79"/>
      <c r="U135" s="79"/>
      <c r="V135" s="79"/>
      <c r="W135" s="55"/>
      <c r="X135" s="55"/>
      <c r="Y135" s="79"/>
      <c r="Z135" s="79"/>
      <c r="AA135" s="79"/>
      <c r="AB135" s="79"/>
      <c r="AC135" s="79"/>
      <c r="AD135" s="25"/>
      <c r="AE135" s="79"/>
      <c r="AF135" s="79"/>
      <c r="AG135" s="26"/>
      <c r="AH135" s="79"/>
      <c r="AI135" s="79"/>
      <c r="AJ135" s="79"/>
      <c r="AK135" s="79">
        <v>50</v>
      </c>
      <c r="AL135" s="79"/>
      <c r="AM135" s="79"/>
      <c r="AN135" s="79"/>
      <c r="AO135" s="26"/>
      <c r="AP135" s="79"/>
      <c r="AQ135" s="25"/>
      <c r="AR135" s="79"/>
      <c r="AS135" s="79"/>
      <c r="AT135" s="79"/>
      <c r="AU135" s="79"/>
      <c r="AV135" s="27"/>
      <c r="AW135" s="79"/>
      <c r="AX135" s="79"/>
      <c r="AY135" s="79"/>
      <c r="AZ135" s="79"/>
      <c r="BA135" s="79"/>
      <c r="BB135" s="79">
        <v>2</v>
      </c>
      <c r="BC135" s="79"/>
      <c r="BD135" s="79"/>
      <c r="BE135" s="79"/>
      <c r="BF135" s="79"/>
      <c r="BG135" s="79"/>
      <c r="BH135" s="79"/>
      <c r="BI135" s="79"/>
      <c r="BJ135" s="79"/>
      <c r="BK135" s="79">
        <v>1</v>
      </c>
      <c r="BL135" s="79"/>
      <c r="BM135" s="79"/>
      <c r="BN135" s="79"/>
      <c r="BO135" s="79"/>
      <c r="BP135" s="79"/>
      <c r="BQ135" s="79"/>
      <c r="BR135" s="79"/>
      <c r="BS135" s="79"/>
      <c r="BT135" s="25">
        <f t="shared" si="13"/>
        <v>53</v>
      </c>
      <c r="BU135" s="32"/>
      <c r="BV135" s="79">
        <v>594.95000000000005</v>
      </c>
      <c r="BW135" s="25">
        <f t="shared" si="14"/>
        <v>31532.350000000002</v>
      </c>
      <c r="BX135" s="25">
        <v>31532.35</v>
      </c>
      <c r="BY135" s="32"/>
      <c r="BZ135" s="79">
        <v>53</v>
      </c>
      <c r="CA135" s="20"/>
    </row>
    <row r="136" spans="1:79" customFormat="1" ht="29.25" customHeight="1" x14ac:dyDescent="0.25">
      <c r="A136" s="23">
        <v>135</v>
      </c>
      <c r="B136" s="80" t="s">
        <v>364</v>
      </c>
      <c r="C136" s="25" t="s">
        <v>365</v>
      </c>
      <c r="D136" s="30" t="s">
        <v>366</v>
      </c>
      <c r="E136" s="29" t="s">
        <v>82</v>
      </c>
      <c r="F136" s="79"/>
      <c r="G136" s="27"/>
      <c r="H136" s="79"/>
      <c r="I136" s="79"/>
      <c r="J136" s="27"/>
      <c r="K136" s="79"/>
      <c r="L136" s="79"/>
      <c r="M136" s="27"/>
      <c r="N136" s="27"/>
      <c r="O136" s="55"/>
      <c r="P136" s="55"/>
      <c r="Q136" s="55"/>
      <c r="R136" s="55"/>
      <c r="S136" s="55"/>
      <c r="T136" s="79"/>
      <c r="U136" s="79">
        <v>200</v>
      </c>
      <c r="V136" s="79"/>
      <c r="W136" s="55"/>
      <c r="X136" s="55"/>
      <c r="Y136" s="79"/>
      <c r="Z136" s="79"/>
      <c r="AA136" s="79"/>
      <c r="AB136" s="79"/>
      <c r="AC136" s="79"/>
      <c r="AD136" s="25"/>
      <c r="AE136" s="79"/>
      <c r="AF136" s="79"/>
      <c r="AG136" s="26"/>
      <c r="AH136" s="79"/>
      <c r="AI136" s="79"/>
      <c r="AJ136" s="79"/>
      <c r="AK136" s="79">
        <v>150</v>
      </c>
      <c r="AL136" s="79"/>
      <c r="AM136" s="79"/>
      <c r="AN136" s="79"/>
      <c r="AO136" s="26"/>
      <c r="AP136" s="79"/>
      <c r="AQ136" s="25"/>
      <c r="AR136" s="79"/>
      <c r="AS136" s="79"/>
      <c r="AT136" s="79"/>
      <c r="AU136" s="79"/>
      <c r="AV136" s="27"/>
      <c r="AW136" s="79"/>
      <c r="AX136" s="79"/>
      <c r="AY136" s="79"/>
      <c r="AZ136" s="79"/>
      <c r="BA136" s="79"/>
      <c r="BB136" s="79"/>
      <c r="BC136" s="79"/>
      <c r="BD136" s="79"/>
      <c r="BE136" s="79"/>
      <c r="BF136" s="79"/>
      <c r="BG136" s="79"/>
      <c r="BH136" s="79"/>
      <c r="BI136" s="79"/>
      <c r="BJ136" s="79"/>
      <c r="BK136" s="79">
        <v>1</v>
      </c>
      <c r="BL136" s="79"/>
      <c r="BM136" s="79"/>
      <c r="BN136" s="79"/>
      <c r="BO136" s="79"/>
      <c r="BP136" s="79"/>
      <c r="BQ136" s="79"/>
      <c r="BR136" s="79"/>
      <c r="BS136" s="79"/>
      <c r="BT136" s="25">
        <f t="shared" si="13"/>
        <v>351</v>
      </c>
      <c r="BU136" s="32"/>
      <c r="BV136" s="79">
        <v>448.45</v>
      </c>
      <c r="BW136" s="25">
        <f t="shared" si="14"/>
        <v>157405.94999999998</v>
      </c>
      <c r="BX136" s="25">
        <v>157405.95000000001</v>
      </c>
      <c r="BY136" s="32"/>
      <c r="BZ136" s="79">
        <v>351</v>
      </c>
      <c r="CA136" s="20"/>
    </row>
    <row r="137" spans="1:79" customFormat="1" ht="29.25" customHeight="1" x14ac:dyDescent="0.25">
      <c r="A137" s="29">
        <v>136</v>
      </c>
      <c r="B137" s="80" t="s">
        <v>367</v>
      </c>
      <c r="C137" s="25" t="s">
        <v>368</v>
      </c>
      <c r="D137" s="30" t="s">
        <v>369</v>
      </c>
      <c r="E137" s="29" t="s">
        <v>82</v>
      </c>
      <c r="F137" s="79"/>
      <c r="G137" s="27"/>
      <c r="H137" s="79"/>
      <c r="I137" s="79"/>
      <c r="J137" s="27"/>
      <c r="K137" s="79">
        <v>100</v>
      </c>
      <c r="L137" s="79">
        <v>10</v>
      </c>
      <c r="M137" s="27"/>
      <c r="N137" s="27"/>
      <c r="O137" s="55"/>
      <c r="P137" s="55"/>
      <c r="Q137" s="55"/>
      <c r="R137" s="55"/>
      <c r="S137" s="55"/>
      <c r="T137" s="79"/>
      <c r="U137" s="79">
        <v>3000</v>
      </c>
      <c r="V137" s="79"/>
      <c r="W137" s="55"/>
      <c r="X137" s="55"/>
      <c r="Y137" s="79"/>
      <c r="Z137" s="79"/>
      <c r="AA137" s="79"/>
      <c r="AB137" s="79">
        <v>300</v>
      </c>
      <c r="AC137" s="79"/>
      <c r="AD137" s="25"/>
      <c r="AE137" s="79"/>
      <c r="AF137" s="79"/>
      <c r="AG137" s="26"/>
      <c r="AH137" s="79"/>
      <c r="AI137" s="79">
        <v>250</v>
      </c>
      <c r="AJ137" s="79"/>
      <c r="AK137" s="79">
        <v>2300</v>
      </c>
      <c r="AL137" s="79">
        <v>30</v>
      </c>
      <c r="AM137" s="79">
        <v>4500</v>
      </c>
      <c r="AN137" s="79"/>
      <c r="AO137" s="26"/>
      <c r="AP137" s="79">
        <v>700</v>
      </c>
      <c r="AQ137" s="25"/>
      <c r="AR137" s="79">
        <v>50</v>
      </c>
      <c r="AS137" s="79"/>
      <c r="AT137" s="79">
        <v>10</v>
      </c>
      <c r="AU137" s="79">
        <v>1050</v>
      </c>
      <c r="AV137" s="27"/>
      <c r="AW137" s="79"/>
      <c r="AX137" s="79"/>
      <c r="AY137" s="79">
        <v>20</v>
      </c>
      <c r="AZ137" s="79">
        <v>20</v>
      </c>
      <c r="BA137" s="79"/>
      <c r="BB137" s="79">
        <v>100</v>
      </c>
      <c r="BC137" s="79">
        <v>30</v>
      </c>
      <c r="BD137" s="79"/>
      <c r="BE137" s="79"/>
      <c r="BF137" s="79"/>
      <c r="BG137" s="79">
        <v>20</v>
      </c>
      <c r="BH137" s="79">
        <v>800</v>
      </c>
      <c r="BI137" s="79"/>
      <c r="BJ137" s="79">
        <v>20</v>
      </c>
      <c r="BK137" s="79">
        <v>30</v>
      </c>
      <c r="BL137" s="79"/>
      <c r="BM137" s="79"/>
      <c r="BN137" s="79"/>
      <c r="BO137" s="79">
        <v>100</v>
      </c>
      <c r="BP137" s="79">
        <v>50</v>
      </c>
      <c r="BQ137" s="79"/>
      <c r="BR137" s="79"/>
      <c r="BS137" s="79"/>
      <c r="BT137" s="25">
        <f t="shared" si="13"/>
        <v>13490</v>
      </c>
      <c r="BU137" s="32"/>
      <c r="BV137" s="79">
        <v>62.000000000000007</v>
      </c>
      <c r="BW137" s="25">
        <f t="shared" si="14"/>
        <v>836380.00000000012</v>
      </c>
      <c r="BX137" s="25">
        <v>836380</v>
      </c>
      <c r="BY137" s="32"/>
      <c r="BZ137" s="79">
        <v>13490</v>
      </c>
      <c r="CA137" s="20"/>
    </row>
    <row r="138" spans="1:79" customFormat="1" ht="29.25" customHeight="1" x14ac:dyDescent="0.25">
      <c r="A138" s="23">
        <v>137</v>
      </c>
      <c r="B138" s="80" t="s">
        <v>370</v>
      </c>
      <c r="C138" s="25" t="s">
        <v>371</v>
      </c>
      <c r="D138" s="30" t="s">
        <v>372</v>
      </c>
      <c r="E138" s="29" t="s">
        <v>82</v>
      </c>
      <c r="F138" s="79"/>
      <c r="G138" s="27"/>
      <c r="H138" s="79"/>
      <c r="I138" s="79"/>
      <c r="J138" s="27"/>
      <c r="K138" s="79"/>
      <c r="L138" s="79"/>
      <c r="M138" s="27"/>
      <c r="N138" s="27"/>
      <c r="O138" s="55"/>
      <c r="P138" s="55"/>
      <c r="Q138" s="55"/>
      <c r="R138" s="55"/>
      <c r="S138" s="55"/>
      <c r="T138" s="79"/>
      <c r="U138" s="79"/>
      <c r="V138" s="79">
        <v>20</v>
      </c>
      <c r="W138" s="55"/>
      <c r="X138" s="55"/>
      <c r="Y138" s="79"/>
      <c r="Z138" s="79"/>
      <c r="AA138" s="79"/>
      <c r="AB138" s="79">
        <v>300</v>
      </c>
      <c r="AC138" s="79"/>
      <c r="AD138" s="25"/>
      <c r="AE138" s="79"/>
      <c r="AF138" s="79"/>
      <c r="AG138" s="26"/>
      <c r="AH138" s="79"/>
      <c r="AI138" s="79">
        <v>100</v>
      </c>
      <c r="AJ138" s="79"/>
      <c r="AK138" s="79"/>
      <c r="AL138" s="79"/>
      <c r="AM138" s="79"/>
      <c r="AN138" s="79"/>
      <c r="AO138" s="26"/>
      <c r="AP138" s="79"/>
      <c r="AQ138" s="25"/>
      <c r="AR138" s="79"/>
      <c r="AS138" s="79">
        <v>5</v>
      </c>
      <c r="AT138" s="79"/>
      <c r="AU138" s="79"/>
      <c r="AV138" s="27"/>
      <c r="AW138" s="79"/>
      <c r="AX138" s="79"/>
      <c r="AY138" s="79"/>
      <c r="AZ138" s="79"/>
      <c r="BA138" s="79"/>
      <c r="BB138" s="79">
        <v>100</v>
      </c>
      <c r="BC138" s="79">
        <v>30</v>
      </c>
      <c r="BD138" s="79"/>
      <c r="BE138" s="79"/>
      <c r="BF138" s="79"/>
      <c r="BG138" s="79"/>
      <c r="BH138" s="79"/>
      <c r="BI138" s="79"/>
      <c r="BJ138" s="79"/>
      <c r="BK138" s="79"/>
      <c r="BL138" s="79"/>
      <c r="BM138" s="79"/>
      <c r="BN138" s="79"/>
      <c r="BO138" s="79"/>
      <c r="BP138" s="79">
        <v>5</v>
      </c>
      <c r="BQ138" s="79">
        <v>50</v>
      </c>
      <c r="BR138" s="79"/>
      <c r="BS138" s="79"/>
      <c r="BT138" s="25">
        <f t="shared" si="13"/>
        <v>610</v>
      </c>
      <c r="BU138" s="32"/>
      <c r="BV138" s="79">
        <v>90.25</v>
      </c>
      <c r="BW138" s="25">
        <f t="shared" si="14"/>
        <v>55052.5</v>
      </c>
      <c r="BX138" s="25">
        <v>55052.5</v>
      </c>
      <c r="BY138" s="32"/>
      <c r="BZ138" s="79">
        <v>610</v>
      </c>
      <c r="CA138" s="20"/>
    </row>
    <row r="139" spans="1:79" customFormat="1" ht="29.25" customHeight="1" x14ac:dyDescent="0.25">
      <c r="A139" s="29">
        <v>138</v>
      </c>
      <c r="B139" s="80" t="s">
        <v>373</v>
      </c>
      <c r="C139" s="25" t="s">
        <v>374</v>
      </c>
      <c r="D139" s="30" t="s">
        <v>375</v>
      </c>
      <c r="E139" s="29" t="s">
        <v>82</v>
      </c>
      <c r="F139" s="79"/>
      <c r="G139" s="27"/>
      <c r="H139" s="79"/>
      <c r="I139" s="79"/>
      <c r="J139" s="27"/>
      <c r="K139" s="79"/>
      <c r="L139" s="79"/>
      <c r="M139" s="27"/>
      <c r="N139" s="27"/>
      <c r="O139" s="55"/>
      <c r="P139" s="55"/>
      <c r="Q139" s="55"/>
      <c r="R139" s="55"/>
      <c r="S139" s="55"/>
      <c r="T139" s="79">
        <v>2000</v>
      </c>
      <c r="U139" s="79"/>
      <c r="V139" s="79">
        <v>3000</v>
      </c>
      <c r="W139" s="55"/>
      <c r="X139" s="55"/>
      <c r="Y139" s="79"/>
      <c r="Z139" s="79">
        <v>10000</v>
      </c>
      <c r="AA139" s="79">
        <v>50</v>
      </c>
      <c r="AB139" s="79">
        <v>1100</v>
      </c>
      <c r="AC139" s="79">
        <v>3000</v>
      </c>
      <c r="AD139" s="25"/>
      <c r="AE139" s="79"/>
      <c r="AF139" s="79"/>
      <c r="AG139" s="26"/>
      <c r="AH139" s="79"/>
      <c r="AI139" s="79">
        <v>500</v>
      </c>
      <c r="AJ139" s="79">
        <v>500</v>
      </c>
      <c r="AK139" s="79">
        <v>7000</v>
      </c>
      <c r="AL139" s="79"/>
      <c r="AM139" s="79">
        <v>1500</v>
      </c>
      <c r="AN139" s="79">
        <v>5</v>
      </c>
      <c r="AO139" s="26"/>
      <c r="AP139" s="79"/>
      <c r="AQ139" s="25"/>
      <c r="AR139" s="79">
        <v>50</v>
      </c>
      <c r="AS139" s="79"/>
      <c r="AT139" s="79"/>
      <c r="AU139" s="79">
        <v>500</v>
      </c>
      <c r="AV139" s="27"/>
      <c r="AW139" s="79"/>
      <c r="AX139" s="79"/>
      <c r="AY139" s="79">
        <v>1300</v>
      </c>
      <c r="AZ139" s="79">
        <v>20</v>
      </c>
      <c r="BA139" s="79"/>
      <c r="BB139" s="79">
        <v>100</v>
      </c>
      <c r="BC139" s="79">
        <v>30</v>
      </c>
      <c r="BD139" s="79"/>
      <c r="BE139" s="79">
        <v>30</v>
      </c>
      <c r="BF139" s="79"/>
      <c r="BG139" s="79"/>
      <c r="BH139" s="79"/>
      <c r="BI139" s="79"/>
      <c r="BJ139" s="79">
        <v>10</v>
      </c>
      <c r="BK139" s="79">
        <v>10</v>
      </c>
      <c r="BL139" s="79"/>
      <c r="BM139" s="79"/>
      <c r="BN139" s="79"/>
      <c r="BO139" s="79">
        <v>100</v>
      </c>
      <c r="BP139" s="79">
        <v>10</v>
      </c>
      <c r="BQ139" s="79">
        <v>1000</v>
      </c>
      <c r="BR139" s="79"/>
      <c r="BS139" s="79">
        <v>20</v>
      </c>
      <c r="BT139" s="25">
        <f t="shared" si="13"/>
        <v>31835</v>
      </c>
      <c r="BU139" s="32"/>
      <c r="BV139" s="79">
        <v>62.000000000000007</v>
      </c>
      <c r="BW139" s="25">
        <f t="shared" si="14"/>
        <v>1973770.0000000002</v>
      </c>
      <c r="BX139" s="25">
        <v>1973770</v>
      </c>
      <c r="BY139" s="32"/>
      <c r="BZ139" s="79">
        <v>31835</v>
      </c>
      <c r="CA139" s="20"/>
    </row>
    <row r="140" spans="1:79" customFormat="1" ht="29.25" customHeight="1" x14ac:dyDescent="0.25">
      <c r="A140" s="23">
        <v>139</v>
      </c>
      <c r="B140" s="80" t="s">
        <v>376</v>
      </c>
      <c r="C140" s="25" t="s">
        <v>377</v>
      </c>
      <c r="D140" s="30" t="s">
        <v>378</v>
      </c>
      <c r="E140" s="29" t="s">
        <v>82</v>
      </c>
      <c r="F140" s="79"/>
      <c r="G140" s="27"/>
      <c r="H140" s="79"/>
      <c r="I140" s="79"/>
      <c r="J140" s="27"/>
      <c r="K140" s="79"/>
      <c r="L140" s="79"/>
      <c r="M140" s="27"/>
      <c r="N140" s="27"/>
      <c r="O140" s="55"/>
      <c r="P140" s="55"/>
      <c r="Q140" s="55"/>
      <c r="R140" s="55"/>
      <c r="S140" s="55"/>
      <c r="T140" s="79"/>
      <c r="U140" s="79"/>
      <c r="V140" s="79"/>
      <c r="W140" s="55"/>
      <c r="X140" s="55"/>
      <c r="Y140" s="79"/>
      <c r="Z140" s="79"/>
      <c r="AA140" s="79"/>
      <c r="AB140" s="79"/>
      <c r="AC140" s="79"/>
      <c r="AD140" s="25"/>
      <c r="AE140" s="79"/>
      <c r="AF140" s="79"/>
      <c r="AG140" s="26"/>
      <c r="AH140" s="79"/>
      <c r="AI140" s="79"/>
      <c r="AJ140" s="79"/>
      <c r="AK140" s="79"/>
      <c r="AL140" s="79"/>
      <c r="AM140" s="25"/>
      <c r="AN140" s="79"/>
      <c r="AO140" s="26"/>
      <c r="AP140" s="79"/>
      <c r="AQ140" s="25"/>
      <c r="AR140" s="22"/>
      <c r="AS140" s="22"/>
      <c r="AT140" s="22"/>
      <c r="AU140" s="79"/>
      <c r="AV140" s="79"/>
      <c r="AW140" s="79"/>
      <c r="AX140" s="79"/>
      <c r="AY140" s="79"/>
      <c r="AZ140" s="22"/>
      <c r="BA140" s="79"/>
      <c r="BB140" s="79">
        <v>20</v>
      </c>
      <c r="BC140" s="79"/>
      <c r="BD140" s="79"/>
      <c r="BE140" s="79"/>
      <c r="BF140" s="79"/>
      <c r="BG140" s="79"/>
      <c r="BH140" s="79"/>
      <c r="BI140" s="79"/>
      <c r="BJ140" s="79"/>
      <c r="BK140" s="79"/>
      <c r="BL140" s="79"/>
      <c r="BM140" s="79"/>
      <c r="BN140" s="79"/>
      <c r="BO140" s="79"/>
      <c r="BP140" s="79"/>
      <c r="BQ140" s="79"/>
      <c r="BR140" s="79">
        <v>10</v>
      </c>
      <c r="BS140" s="79"/>
      <c r="BT140" s="25">
        <f t="shared" si="13"/>
        <v>30</v>
      </c>
      <c r="BU140" s="32"/>
      <c r="BV140" s="79">
        <v>48</v>
      </c>
      <c r="BW140" s="25">
        <f t="shared" si="14"/>
        <v>1440</v>
      </c>
      <c r="BX140" s="25">
        <v>1440</v>
      </c>
      <c r="BY140" s="32"/>
      <c r="BZ140" s="79">
        <v>30</v>
      </c>
      <c r="CA140" s="20"/>
    </row>
    <row r="141" spans="1:79" customFormat="1" ht="29.25" customHeight="1" x14ac:dyDescent="0.25">
      <c r="A141" s="29">
        <v>140</v>
      </c>
      <c r="B141" s="80" t="s">
        <v>379</v>
      </c>
      <c r="C141" s="25" t="s">
        <v>380</v>
      </c>
      <c r="D141" s="30" t="s">
        <v>381</v>
      </c>
      <c r="E141" s="29" t="s">
        <v>82</v>
      </c>
      <c r="F141" s="79"/>
      <c r="G141" s="27"/>
      <c r="H141" s="79"/>
      <c r="I141" s="79"/>
      <c r="J141" s="27"/>
      <c r="K141" s="79"/>
      <c r="L141" s="79"/>
      <c r="M141" s="27"/>
      <c r="N141" s="27"/>
      <c r="O141" s="55"/>
      <c r="P141" s="55"/>
      <c r="Q141" s="55"/>
      <c r="R141" s="55"/>
      <c r="S141" s="55"/>
      <c r="T141" s="79"/>
      <c r="U141" s="79"/>
      <c r="V141" s="79"/>
      <c r="W141" s="55"/>
      <c r="X141" s="55"/>
      <c r="Y141" s="79"/>
      <c r="Z141" s="79"/>
      <c r="AA141" s="79"/>
      <c r="AB141" s="79"/>
      <c r="AC141" s="79"/>
      <c r="AD141" s="25"/>
      <c r="AE141" s="79"/>
      <c r="AF141" s="79"/>
      <c r="AG141" s="26"/>
      <c r="AH141" s="79"/>
      <c r="AI141" s="79"/>
      <c r="AJ141" s="79"/>
      <c r="AK141" s="79"/>
      <c r="AL141" s="79"/>
      <c r="AM141" s="25"/>
      <c r="AN141" s="79"/>
      <c r="AO141" s="26"/>
      <c r="AP141" s="79"/>
      <c r="AQ141" s="25"/>
      <c r="AR141" s="22"/>
      <c r="AS141" s="22"/>
      <c r="AT141" s="22"/>
      <c r="AU141" s="79"/>
      <c r="AV141" s="79"/>
      <c r="AW141" s="79"/>
      <c r="AX141" s="79"/>
      <c r="AY141" s="79"/>
      <c r="AZ141" s="22"/>
      <c r="BA141" s="79"/>
      <c r="BB141" s="79">
        <v>20</v>
      </c>
      <c r="BC141" s="79"/>
      <c r="BD141" s="79"/>
      <c r="BE141" s="79"/>
      <c r="BF141" s="79"/>
      <c r="BG141" s="79"/>
      <c r="BH141" s="79"/>
      <c r="BI141" s="79"/>
      <c r="BJ141" s="79"/>
      <c r="BK141" s="79"/>
      <c r="BL141" s="79"/>
      <c r="BM141" s="79"/>
      <c r="BN141" s="79"/>
      <c r="BO141" s="79"/>
      <c r="BP141" s="79"/>
      <c r="BQ141" s="79"/>
      <c r="BR141" s="79"/>
      <c r="BS141" s="79"/>
      <c r="BT141" s="25">
        <f t="shared" si="13"/>
        <v>20</v>
      </c>
      <c r="BU141" s="32"/>
      <c r="BV141" s="79">
        <v>48</v>
      </c>
      <c r="BW141" s="25">
        <f t="shared" si="14"/>
        <v>960</v>
      </c>
      <c r="BX141" s="25">
        <v>960</v>
      </c>
      <c r="BY141" s="32"/>
      <c r="BZ141" s="79">
        <v>20</v>
      </c>
      <c r="CA141" s="20"/>
    </row>
    <row r="142" spans="1:79" customFormat="1" ht="29.25" customHeight="1" x14ac:dyDescent="0.25">
      <c r="A142" s="23">
        <v>141</v>
      </c>
      <c r="B142" s="80" t="s">
        <v>382</v>
      </c>
      <c r="C142" s="25" t="s">
        <v>383</v>
      </c>
      <c r="D142" s="30" t="s">
        <v>384</v>
      </c>
      <c r="E142" s="29" t="s">
        <v>82</v>
      </c>
      <c r="F142" s="79"/>
      <c r="G142" s="27"/>
      <c r="H142" s="79"/>
      <c r="I142" s="79"/>
      <c r="J142" s="27"/>
      <c r="K142" s="79"/>
      <c r="L142" s="79"/>
      <c r="M142" s="27"/>
      <c r="N142" s="27"/>
      <c r="O142" s="55"/>
      <c r="P142" s="55"/>
      <c r="Q142" s="55"/>
      <c r="R142" s="55"/>
      <c r="S142" s="55"/>
      <c r="T142" s="79"/>
      <c r="U142" s="79"/>
      <c r="V142" s="79"/>
      <c r="W142" s="55"/>
      <c r="X142" s="55"/>
      <c r="Y142" s="79"/>
      <c r="Z142" s="79"/>
      <c r="AA142" s="79"/>
      <c r="AB142" s="79"/>
      <c r="AC142" s="79"/>
      <c r="AD142" s="25"/>
      <c r="AE142" s="79"/>
      <c r="AF142" s="79"/>
      <c r="AG142" s="26"/>
      <c r="AH142" s="79"/>
      <c r="AI142" s="79"/>
      <c r="AJ142" s="79"/>
      <c r="AK142" s="79"/>
      <c r="AL142" s="79"/>
      <c r="AM142" s="25"/>
      <c r="AN142" s="79"/>
      <c r="AO142" s="26"/>
      <c r="AP142" s="79"/>
      <c r="AQ142" s="25"/>
      <c r="AR142" s="22"/>
      <c r="AS142" s="22"/>
      <c r="AT142" s="22"/>
      <c r="AU142" s="79"/>
      <c r="AV142" s="79"/>
      <c r="AW142" s="79"/>
      <c r="AX142" s="79"/>
      <c r="AY142" s="79"/>
      <c r="AZ142" s="22"/>
      <c r="BA142" s="79"/>
      <c r="BB142" s="79">
        <v>20</v>
      </c>
      <c r="BC142" s="79"/>
      <c r="BD142" s="79"/>
      <c r="BE142" s="79"/>
      <c r="BF142" s="79"/>
      <c r="BG142" s="79"/>
      <c r="BH142" s="79"/>
      <c r="BI142" s="79"/>
      <c r="BJ142" s="79"/>
      <c r="BK142" s="79"/>
      <c r="BL142" s="79"/>
      <c r="BM142" s="79"/>
      <c r="BN142" s="79"/>
      <c r="BO142" s="79"/>
      <c r="BP142" s="79"/>
      <c r="BQ142" s="79"/>
      <c r="BR142" s="79"/>
      <c r="BS142" s="79"/>
      <c r="BT142" s="25">
        <f t="shared" si="13"/>
        <v>20</v>
      </c>
      <c r="BU142" s="32"/>
      <c r="BV142" s="79">
        <v>48</v>
      </c>
      <c r="BW142" s="25">
        <f t="shared" si="14"/>
        <v>960</v>
      </c>
      <c r="BX142" s="25">
        <v>960</v>
      </c>
      <c r="BY142" s="32"/>
      <c r="BZ142" s="79">
        <v>20</v>
      </c>
      <c r="CA142" s="20"/>
    </row>
    <row r="143" spans="1:79" s="84" customFormat="1" ht="29.25" customHeight="1" x14ac:dyDescent="0.25">
      <c r="A143" s="81"/>
      <c r="B143" s="82"/>
      <c r="C143" s="83"/>
      <c r="D143" s="82"/>
      <c r="O143" s="85"/>
      <c r="P143" s="85"/>
      <c r="Q143" s="85"/>
      <c r="R143" s="85"/>
      <c r="S143" s="85"/>
      <c r="T143" s="83"/>
      <c r="U143" s="83"/>
      <c r="V143" s="83"/>
      <c r="W143" s="85"/>
      <c r="X143" s="85"/>
      <c r="Y143" s="85"/>
      <c r="Z143" s="85"/>
      <c r="AA143" s="85"/>
      <c r="AB143" s="85"/>
      <c r="AC143" s="86"/>
      <c r="AD143" s="86"/>
      <c r="AE143" s="86"/>
      <c r="AF143" s="87"/>
      <c r="AG143" s="88"/>
      <c r="AH143" s="86"/>
      <c r="AI143" s="86"/>
      <c r="AJ143" s="86"/>
      <c r="AK143" s="87"/>
      <c r="AL143" s="86"/>
      <c r="AM143" s="86"/>
      <c r="AN143" s="88"/>
      <c r="AO143" s="89"/>
      <c r="AP143" s="86"/>
      <c r="AQ143" s="83"/>
      <c r="AR143" s="90"/>
      <c r="AS143" s="90"/>
      <c r="AT143" s="90"/>
      <c r="AU143" s="86"/>
      <c r="AV143" s="91"/>
      <c r="AW143" s="88"/>
      <c r="AX143" s="88"/>
      <c r="AY143" s="87"/>
      <c r="AZ143" s="86"/>
      <c r="BA143" s="83"/>
      <c r="BB143" s="83"/>
      <c r="BC143" s="83"/>
      <c r="BD143" s="83"/>
      <c r="BE143" s="83"/>
      <c r="BF143" s="83"/>
      <c r="BG143" s="83"/>
      <c r="BH143" s="83"/>
      <c r="BI143" s="83"/>
      <c r="BJ143" s="83"/>
      <c r="BK143" s="83"/>
      <c r="BL143" s="83"/>
      <c r="BM143" s="83"/>
      <c r="BN143" s="83"/>
      <c r="BO143" s="83"/>
      <c r="BP143" s="83"/>
      <c r="BQ143" s="83"/>
      <c r="BR143" s="83"/>
      <c r="BS143" s="83"/>
      <c r="BT143" s="83"/>
      <c r="BU143" s="92"/>
      <c r="BV143" s="83"/>
      <c r="BW143" s="83"/>
      <c r="BX143" s="93">
        <f>SUM(BX2:BX142)</f>
        <v>17913934.209999997</v>
      </c>
      <c r="BY143" s="92"/>
      <c r="BZ143" s="85"/>
    </row>
  </sheetData>
  <autoFilter ref="A1:CA123">
    <sortState ref="A2:CD127">
      <sortCondition ref="B1:B127"/>
    </sortState>
  </autoFilter>
  <pageMargins left="0.7" right="0.7" top="0.75" bottom="0.75" header="0.3" footer="0.3"/>
  <pageSetup paperSize="9"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S1 - spre publicare f.culori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 Windows</cp:lastModifiedBy>
  <dcterms:created xsi:type="dcterms:W3CDTF">2026-01-15T09:53:00Z</dcterms:created>
  <dcterms:modified xsi:type="dcterms:W3CDTF">2026-01-15T14:20:05Z</dcterms:modified>
</cp:coreProperties>
</file>
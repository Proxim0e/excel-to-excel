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_\PycharmProjects\excel-to-excel\resources\"/>
    </mc:Choice>
  </mc:AlternateContent>
  <xr:revisionPtr revIDLastSave="0" documentId="13_ncr:1_{50240E7A-7ED8-45C6-A2FC-7C1BF1C3605B}" xr6:coauthVersionLast="47" xr6:coauthVersionMax="47" xr10:uidLastSave="{00000000-0000-0000-0000-000000000000}"/>
  <bookViews>
    <workbookView xWindow="-108" yWindow="-108" windowWidth="23256" windowHeight="12456" xr2:uid="{AAF058B6-525B-4738-8D86-6F09FA7F3860}"/>
  </bookViews>
  <sheets>
    <sheet name="Lot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  <c r="M9" i="1"/>
  <c r="L9" i="1"/>
  <c r="K9" i="1"/>
  <c r="J9" i="1"/>
  <c r="I9" i="1"/>
  <c r="H9" i="1"/>
  <c r="G9" i="1"/>
  <c r="F9" i="1"/>
  <c r="E9" i="1"/>
  <c r="N7" i="1"/>
  <c r="M7" i="1"/>
  <c r="L7" i="1"/>
  <c r="K7" i="1"/>
  <c r="J7" i="1"/>
  <c r="I7" i="1"/>
  <c r="H7" i="1"/>
  <c r="G7" i="1"/>
  <c r="F7" i="1"/>
  <c r="E7" i="1"/>
  <c r="D7" i="1"/>
  <c r="N6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<sst xmlns="http://schemas.openxmlformats.org/spreadsheetml/2006/main" count="40" uniqueCount="25">
  <si>
    <t>Lot nr. 77 Gel ultrasonografie (ecografie), 5000 ml ( 007021 )</t>
  </si>
  <si>
    <t xml:space="preserve">Tehnic    corespunde </t>
  </si>
  <si>
    <t>Nu a fost evaluat</t>
  </si>
  <si>
    <r>
      <t xml:space="preserve">Ofertant: </t>
    </r>
    <r>
      <rPr>
        <b/>
        <sz val="12"/>
        <color theme="1"/>
        <rFont val="Cambria"/>
        <family val="1"/>
      </rPr>
      <t>Electeh SRL</t>
    </r>
  </si>
  <si>
    <r>
      <t xml:space="preserve">Ofertant: </t>
    </r>
    <r>
      <rPr>
        <b/>
        <sz val="12"/>
        <color theme="1"/>
        <rFont val="Cambria"/>
        <family val="1"/>
      </rPr>
      <t>Ecochimie</t>
    </r>
  </si>
  <si>
    <r>
      <t xml:space="preserve">Ofertant: </t>
    </r>
    <r>
      <rPr>
        <b/>
        <sz val="12"/>
        <color theme="1"/>
        <rFont val="Cambria"/>
        <family val="1"/>
      </rPr>
      <t>Natusana</t>
    </r>
  </si>
  <si>
    <r>
      <t xml:space="preserve">Ofertant: </t>
    </r>
    <r>
      <rPr>
        <b/>
        <sz val="12"/>
        <color theme="1"/>
        <rFont val="Cambria"/>
        <family val="1"/>
      </rPr>
      <t>Medglobalfarm</t>
    </r>
  </si>
  <si>
    <r>
      <t xml:space="preserve">Ofertant: </t>
    </r>
    <r>
      <rPr>
        <b/>
        <sz val="12"/>
        <color theme="1"/>
        <rFont val="Cambria"/>
        <family val="1"/>
      </rPr>
      <t>DITA ESTFARM S.R.L</t>
    </r>
  </si>
  <si>
    <r>
      <rPr>
        <sz val="12"/>
        <color rgb="FF000000"/>
        <rFont val="Cambria"/>
        <family val="1"/>
      </rPr>
      <t>Producator:</t>
    </r>
    <r>
      <rPr>
        <b/>
        <sz val="12"/>
        <color indexed="8"/>
        <rFont val="Cambria"/>
        <family val="1"/>
      </rPr>
      <t xml:space="preserve"> KAF GRUP
SAG.
HIZM. INS.
SAN. VE
TIC. LTD.
STI.
</t>
    </r>
    <r>
      <rPr>
        <sz val="12"/>
        <color indexed="8"/>
        <rFont val="Cambria"/>
        <family val="1"/>
      </rPr>
      <t xml:space="preserve">Țara: </t>
    </r>
    <r>
      <rPr>
        <b/>
        <sz val="12"/>
        <color indexed="8"/>
        <rFont val="Cambria"/>
        <family val="1"/>
      </rPr>
      <t xml:space="preserve">Turcia
</t>
    </r>
    <r>
      <rPr>
        <sz val="12"/>
        <color indexed="8"/>
        <rFont val="Cambria"/>
        <family val="1"/>
      </rPr>
      <t xml:space="preserve">Model: </t>
    </r>
    <r>
      <rPr>
        <b/>
        <sz val="12"/>
        <color indexed="8"/>
        <rFont val="Cambria"/>
        <family val="1"/>
      </rPr>
      <t>KAFG31-3</t>
    </r>
  </si>
  <si>
    <t>NOTE</t>
  </si>
  <si>
    <t>DM000368051
Rg04-000198 24-08-2022</t>
  </si>
  <si>
    <t>e-licitatie</t>
  </si>
  <si>
    <t>preț initial</t>
  </si>
  <si>
    <t>% initial</t>
  </si>
  <si>
    <t>Pret per bucata</t>
  </si>
  <si>
    <t>Valoare estimata/prezentata</t>
  </si>
  <si>
    <t>Unit. Mas</t>
  </si>
  <si>
    <t>Gel ultrasonografie (ecografie), 5000 ml ( 007021 ),
1.volum: 5000 ml
2.1 flacon de lucru, gol, transparent ~ 250ml (pentru
fiecare 5000 ml cîte un flacon)
3.PH 5.5
- 7;
4.transparent, incolor, inodor (fără miros)
5.să nu conțină: formaldehidă, stabilizatori, substanțe
uleioase, săruri
6.hidrosolubil.
7. Ambalajul sa fie transparent, flexibil moale, Bucată</t>
  </si>
  <si>
    <t>pH balanced between 5,00 - 7,00.
No toxic effect. Not irritate the skin.
Water soluble. Easy to clean.
Not contain formaldehide and salt. Odorless.
5lt
SIZE
REF NO
KAF G31-3</t>
  </si>
  <si>
    <t xml:space="preserve"> </t>
  </si>
  <si>
    <t>!</t>
  </si>
  <si>
    <t>*</t>
  </si>
  <si>
    <t>Pentru trimestru 2/3 este prezent regimul Skeleton/X-ray, OmniView pag. 18, 19 Spine Trace si pag. 27 exemplu
de imagini din Voluson Expert 22 Customer Presentation..
Voluson_Expert_22_Customer Presentation.pdf va fi atașat la prezenta clarificare.
Ca referință pentru solicitarea sus menționată pagina 15, 30 imaginea din Fig .1, Fig 2,cl
//
OmniView
Obtain any plane from a 3D or 4D volume by simply drawing a line, curve, poly-line, or trace through a
structure. This valuable technology enables views of even irregularly shaped structures not attainable in 2D
imaging,p18 cust present</t>
  </si>
  <si>
    <t>Uterine Trace
Taking the effort out of 3D with Uterine Trace – In 3 simple steps, obtain the coronal plane of the uterus. Links
directly to Uterine Classification pictograms for easy documentation of uterine shape.,p49  Voluson_Expert_22_Customer Presentation</t>
  </si>
  <si>
    <t>https://achizitii.md/ro/public/tender/21463195/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</si>
</sst>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L&quot;"/>
    <numFmt numFmtId="165" formatCode="0.00000%"/>
    <numFmt numFmtId="166" formatCode="0.0000%"/>
  </numFmts>
  <fonts count="2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mbria"/>
      <family val="1"/>
    </font>
    <font>
      <b/>
      <sz val="16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indexed="8"/>
      <name val="Cambria"/>
      <family val="1"/>
    </font>
    <font>
      <sz val="12"/>
      <color rgb="FF000000"/>
      <name val="Cambria"/>
      <family val="1"/>
    </font>
    <font>
      <sz val="12"/>
      <color indexed="8"/>
      <name val="Cambria"/>
      <family val="1"/>
    </font>
    <font>
      <b/>
      <sz val="12"/>
      <name val="Cambria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mbria"/>
      <family val="1"/>
    </font>
    <font>
      <sz val="11"/>
      <name val="Cambria"/>
      <family val="1"/>
    </font>
    <font>
      <sz val="11"/>
      <color rgb="FFFF0000"/>
      <name val="Cambria"/>
      <family val="1"/>
    </font>
    <font>
      <u/>
      <sz val="11"/>
      <color theme="1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2" fillId="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70">
    <xf numFmtId="0" fontId="0" fillId="0" borderId="0" xfId="0"/>
    <xf numFmtId="0" fontId="4" fillId="0" borderId="0" xfId="1" applyFont="1"/>
    <xf numFmtId="0" fontId="6" fillId="3" borderId="4" xfId="2" applyFont="1" applyFill="1" applyBorder="1" applyAlignment="1">
      <alignment horizontal="center" vertical="center" wrapText="1"/>
    </xf>
    <xf numFmtId="0" fontId="6" fillId="4" borderId="4" xfId="2" applyFont="1" applyFill="1" applyBorder="1" applyAlignment="1">
      <alignment horizontal="center" vertical="center" wrapText="1"/>
    </xf>
    <xf numFmtId="0" fontId="7" fillId="0" borderId="4" xfId="2" applyFont="1" applyFill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0" fontId="3" fillId="0" borderId="0" xfId="1"/>
    <xf numFmtId="0" fontId="3" fillId="0" borderId="0" xfId="1" applyAlignment="1">
      <alignment horizontal="center" vertical="center"/>
    </xf>
    <xf numFmtId="0" fontId="10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3" fillId="0" borderId="4" xfId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14" fillId="0" borderId="9" xfId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5" fontId="9" fillId="0" borderId="10" xfId="0" applyNumberFormat="1" applyFont="1" applyBorder="1" applyAlignment="1">
      <alignment horizontal="center" vertical="center" wrapText="1"/>
    </xf>
    <xf numFmtId="0" fontId="15" fillId="0" borderId="4" xfId="1" applyFont="1" applyBorder="1" applyAlignment="1">
      <alignment horizontal="center" vertical="center" wrapText="1"/>
    </xf>
    <xf numFmtId="164" fontId="16" fillId="0" borderId="4" xfId="1" applyNumberFormat="1" applyFont="1" applyBorder="1" applyAlignment="1">
      <alignment horizontal="center" vertical="center" wrapText="1"/>
    </xf>
    <xf numFmtId="164" fontId="12" fillId="0" borderId="10" xfId="0" applyNumberFormat="1" applyFont="1" applyBorder="1" applyAlignment="1">
      <alignment horizontal="center" vertical="center" wrapText="1"/>
    </xf>
    <xf numFmtId="0" fontId="1" fillId="0" borderId="10" xfId="1" applyFont="1" applyBorder="1" applyAlignment="1">
      <alignment horizontal="center" vertical="center" wrapText="1"/>
    </xf>
    <xf numFmtId="0" fontId="15" fillId="0" borderId="10" xfId="1" applyFont="1" applyBorder="1" applyAlignment="1">
      <alignment horizontal="center" vertical="center" wrapText="1"/>
    </xf>
    <xf numFmtId="164" fontId="9" fillId="5" borderId="10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top" wrapText="1"/>
    </xf>
    <xf numFmtId="0" fontId="15" fillId="0" borderId="3" xfId="0" applyFont="1" applyBorder="1" applyAlignment="1">
      <alignment vertical="top" wrapText="1"/>
    </xf>
    <xf numFmtId="0" fontId="15" fillId="0" borderId="10" xfId="0" applyFont="1" applyBorder="1" applyAlignment="1">
      <alignment horizontal="center" vertical="center" wrapText="1"/>
    </xf>
    <xf numFmtId="165" fontId="13" fillId="0" borderId="10" xfId="0" applyNumberFormat="1" applyFont="1" applyBorder="1" applyAlignment="1">
      <alignment horizontal="center" vertical="center" wrapText="1"/>
    </xf>
    <xf numFmtId="0" fontId="4" fillId="7" borderId="8" xfId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 wrapText="1"/>
    </xf>
    <xf numFmtId="0" fontId="15" fillId="0" borderId="3" xfId="0" applyFont="1" applyBorder="1" applyAlignment="1">
      <alignment horizontal="left" vertical="top" wrapText="1"/>
    </xf>
    <xf numFmtId="0" fontId="17" fillId="0" borderId="8" xfId="1" applyFont="1" applyBorder="1" applyAlignment="1">
      <alignment horizontal="center" vertical="center" wrapText="1"/>
    </xf>
    <xf numFmtId="10" fontId="14" fillId="0" borderId="4" xfId="0" applyNumberFormat="1" applyFont="1" applyBorder="1" applyAlignment="1">
      <alignment horizontal="center" vertical="center" wrapText="1"/>
    </xf>
    <xf numFmtId="166" fontId="17" fillId="0" borderId="4" xfId="1" applyNumberFormat="1" applyFont="1" applyBorder="1" applyAlignment="1">
      <alignment horizontal="center" vertical="center" wrapText="1"/>
    </xf>
    <xf numFmtId="166" fontId="17" fillId="0" borderId="10" xfId="1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18" fillId="3" borderId="4" xfId="0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6" fillId="0" borderId="4" xfId="2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3" fillId="5" borderId="0" xfId="1" applyFill="1"/>
    <xf numFmtId="0" fontId="3" fillId="0" borderId="1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5" fillId="0" borderId="0" xfId="1" applyFont="1" applyAlignment="1">
      <alignment wrapText="1"/>
    </xf>
    <xf numFmtId="0" fontId="15" fillId="0" borderId="0" xfId="1" applyFon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0" fontId="3" fillId="0" borderId="0" xfId="1" applyAlignment="1">
      <alignment horizontal="center"/>
    </xf>
    <xf numFmtId="0" fontId="5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20" fillId="0" borderId="0" xfId="3"/>
  </cellXfs>
  <cellStyles count="4">
    <cellStyle name="Акцент5 2" xfId="2" xr:uid="{6FA39D0B-A999-428C-BC88-EDEF5A8C5489}"/>
    <cellStyle name="Гиперссылка" xfId="3" builtinId="8"/>
    <cellStyle name="Обычный" xfId="0" builtinId="0"/>
    <cellStyle name="Обычный 3" xfId="1" xr:uid="{EB3CC705-0817-4C78-AFAF-BE21745786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291353</xdr:colOff>
      <xdr:row>101</xdr:row>
      <xdr:rowOff>78441</xdr:rowOff>
    </xdr:from>
    <xdr:to>
      <xdr:col>8</xdr:col>
      <xdr:colOff>1832581</xdr:colOff>
      <xdr:row>101</xdr:row>
      <xdr:rowOff>710146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AD9754D-8299-4501-8256-E1B801F6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56593" y="57502761"/>
          <a:ext cx="1541228" cy="631705"/>
        </a:xfrm>
        <a:prstGeom prst="rect">
          <a:avLst/>
        </a:prstGeom>
      </xdr:spPr>
    </xdr:pic>
    <xdr:clientData/>
  </xdr:twoCellAnchor>
  <xdr:oneCellAnchor>
    <xdr:from>
      <xdr:col>14</xdr:col>
      <xdr:colOff>0</xdr:colOff>
      <xdr:row>101</xdr:row>
      <xdr:rowOff>78441</xdr:rowOff>
    </xdr:from>
    <xdr:ext cx="1541228" cy="631705"/>
    <xdr:pic>
      <xdr:nvPicPr>
        <xdr:cNvPr id="3" name="Рисунок 2">
          <a:extLst>
            <a:ext uri="{FF2B5EF4-FFF2-40B4-BE49-F238E27FC236}">
              <a16:creationId xmlns:a16="http://schemas.microsoft.com/office/drawing/2014/main" id="{A6788D8E-C186-4427-BD93-D5DE2BDC2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33200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13</xdr:col>
      <xdr:colOff>291353</xdr:colOff>
      <xdr:row>101</xdr:row>
      <xdr:rowOff>78441</xdr:rowOff>
    </xdr:from>
    <xdr:ext cx="1541228" cy="631705"/>
    <xdr:pic>
      <xdr:nvPicPr>
        <xdr:cNvPr id="4" name="Рисунок 3">
          <a:extLst>
            <a:ext uri="{FF2B5EF4-FFF2-40B4-BE49-F238E27FC236}">
              <a16:creationId xmlns:a16="http://schemas.microsoft.com/office/drawing/2014/main" id="{0978EA54-55C9-41E8-8251-204AD5F43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2989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9</xdr:col>
      <xdr:colOff>291353</xdr:colOff>
      <xdr:row>101</xdr:row>
      <xdr:rowOff>78441</xdr:rowOff>
    </xdr:from>
    <xdr:ext cx="1541228" cy="631705"/>
    <xdr:pic>
      <xdr:nvPicPr>
        <xdr:cNvPr id="5" name="Рисунок 4">
          <a:extLst>
            <a:ext uri="{FF2B5EF4-FFF2-40B4-BE49-F238E27FC236}">
              <a16:creationId xmlns:a16="http://schemas.microsoft.com/office/drawing/2014/main" id="{BB420762-F1C9-4DD8-944C-E7CFAA36A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35125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11</xdr:col>
      <xdr:colOff>291353</xdr:colOff>
      <xdr:row>101</xdr:row>
      <xdr:rowOff>78441</xdr:rowOff>
    </xdr:from>
    <xdr:ext cx="1541228" cy="631705"/>
    <xdr:pic>
      <xdr:nvPicPr>
        <xdr:cNvPr id="6" name="Рисунок 5">
          <a:extLst>
            <a:ext uri="{FF2B5EF4-FFF2-40B4-BE49-F238E27FC236}">
              <a16:creationId xmlns:a16="http://schemas.microsoft.com/office/drawing/2014/main" id="{0562EB6C-502E-4D4F-A72F-D86F75D68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57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10</xdr:col>
      <xdr:colOff>291353</xdr:colOff>
      <xdr:row>101</xdr:row>
      <xdr:rowOff>78441</xdr:rowOff>
    </xdr:from>
    <xdr:ext cx="1541228" cy="631705"/>
    <xdr:pic>
      <xdr:nvPicPr>
        <xdr:cNvPr id="7" name="Рисунок 6">
          <a:extLst>
            <a:ext uri="{FF2B5EF4-FFF2-40B4-BE49-F238E27FC236}">
              <a16:creationId xmlns:a16="http://schemas.microsoft.com/office/drawing/2014/main" id="{4A572456-83AC-4F89-88C7-30A5CEAC0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4591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12</xdr:col>
      <xdr:colOff>291353</xdr:colOff>
      <xdr:row>101</xdr:row>
      <xdr:rowOff>78441</xdr:rowOff>
    </xdr:from>
    <xdr:ext cx="1541228" cy="631705"/>
    <xdr:pic>
      <xdr:nvPicPr>
        <xdr:cNvPr id="8" name="Рисунок 7">
          <a:extLst>
            <a:ext uri="{FF2B5EF4-FFF2-40B4-BE49-F238E27FC236}">
              <a16:creationId xmlns:a16="http://schemas.microsoft.com/office/drawing/2014/main" id="{E50C6197-D32B-4FAF-B150-6A41744F0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35233" y="57502761"/>
          <a:ext cx="1541228" cy="6317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chizitii.md/ro/public/tender/2146319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0E21-9124-4A1A-B456-830DDA8C8B13}">
  <sheetPr>
    <tabColor rgb="FF00B050"/>
  </sheetPr>
  <dimension ref="A1:Q108"/>
  <sheetViews>
    <sheetView tabSelected="1" zoomScale="70" zoomScaleNormal="70" workbookViewId="0">
      <selection activeCell="A2" sqref="A2"/>
    </sheetView>
  </sheetViews>
  <sheetFormatPr defaultColWidth="9.109375" defaultRowHeight="14.4" x14ac:dyDescent="0.3"/>
  <cols>
    <col min="1" max="1" width="10.6640625" style="6" customWidth="1"/>
    <col min="2" max="2" width="16" style="51" customWidth="1"/>
    <col min="3" max="3" width="25.44140625" style="52" customWidth="1"/>
    <col min="4" max="4" width="33.109375" style="53" customWidth="1"/>
    <col min="5" max="5" width="54.44140625" style="54" customWidth="1"/>
    <col min="6" max="8" width="46.109375" style="54" customWidth="1"/>
    <col min="9" max="14" width="43.6640625" style="54" customWidth="1"/>
    <col min="15" max="15" width="52.33203125" style="54" customWidth="1"/>
    <col min="16" max="16" width="35.5546875" style="54" customWidth="1"/>
    <col min="17" max="16384" width="9.109375" style="6"/>
  </cols>
  <sheetData>
    <row r="1" spans="1:16" ht="19.5" customHeight="1" x14ac:dyDescent="0.3">
      <c r="A1" s="1">
        <v>5815</v>
      </c>
      <c r="B1" s="55" t="s">
        <v>0</v>
      </c>
      <c r="C1" s="56"/>
      <c r="D1" s="57"/>
      <c r="E1" s="2" t="s">
        <v>1</v>
      </c>
      <c r="F1" s="3" t="s">
        <v>2</v>
      </c>
      <c r="G1" s="3" t="s">
        <v>2</v>
      </c>
      <c r="H1" s="3" t="s">
        <v>2</v>
      </c>
      <c r="I1" s="3" t="s">
        <v>2</v>
      </c>
      <c r="J1" s="3" t="s">
        <v>2</v>
      </c>
      <c r="K1" s="3" t="s">
        <v>2</v>
      </c>
      <c r="L1" s="3" t="s">
        <v>2</v>
      </c>
      <c r="M1" s="3" t="s">
        <v>2</v>
      </c>
      <c r="N1" s="3" t="s">
        <v>2</v>
      </c>
      <c r="O1" s="4"/>
      <c r="P1" s="5"/>
    </row>
    <row r="2" spans="1:16" ht="15" x14ac:dyDescent="0.3">
      <c r="A2" s="69" t="s">
        <v>24</v>
      </c>
      <c r="B2" s="58"/>
      <c r="C2" s="59"/>
      <c r="D2" s="60"/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7</v>
      </c>
      <c r="K2" s="5" t="s">
        <v>7</v>
      </c>
      <c r="L2" s="5" t="s">
        <v>7</v>
      </c>
      <c r="M2" s="5" t="s">
        <v>7</v>
      </c>
      <c r="N2" s="5" t="s">
        <v>7</v>
      </c>
      <c r="O2" s="5"/>
      <c r="P2" s="5"/>
    </row>
    <row r="3" spans="1:16" ht="120" x14ac:dyDescent="0.3">
      <c r="A3" s="7"/>
      <c r="B3" s="58"/>
      <c r="C3" s="59"/>
      <c r="D3" s="60"/>
      <c r="E3" s="8" t="s">
        <v>8</v>
      </c>
      <c r="F3" s="9"/>
      <c r="G3" s="9"/>
      <c r="H3" s="9"/>
      <c r="I3" s="8"/>
      <c r="J3" s="8"/>
      <c r="K3" s="8"/>
      <c r="L3" s="8"/>
      <c r="M3" s="8"/>
      <c r="N3" s="8"/>
      <c r="O3" s="9"/>
      <c r="P3" s="10" t="s">
        <v>9</v>
      </c>
    </row>
    <row r="4" spans="1:16" ht="30" x14ac:dyDescent="0.3">
      <c r="B4" s="61"/>
      <c r="C4" s="62"/>
      <c r="D4" s="63"/>
      <c r="E4" s="11" t="s">
        <v>10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3"/>
    </row>
    <row r="5" spans="1:16" ht="21" hidden="1" x14ac:dyDescent="0.3">
      <c r="A5" s="64" t="s">
        <v>11</v>
      </c>
      <c r="B5" s="14"/>
      <c r="C5" s="15"/>
      <c r="D5" s="16" t="s">
        <v>12</v>
      </c>
      <c r="E5" s="17"/>
      <c r="F5" s="17"/>
      <c r="G5" s="17"/>
      <c r="H5" s="17"/>
      <c r="I5" s="17">
        <v>2450000</v>
      </c>
      <c r="J5" s="17">
        <v>2450000</v>
      </c>
      <c r="K5" s="17">
        <v>2450000</v>
      </c>
      <c r="L5" s="17">
        <v>2450000</v>
      </c>
      <c r="M5" s="17">
        <v>2450000</v>
      </c>
      <c r="N5" s="17">
        <v>2450000</v>
      </c>
      <c r="O5" s="17"/>
      <c r="P5" s="12"/>
    </row>
    <row r="6" spans="1:16" ht="21" hidden="1" x14ac:dyDescent="0.3">
      <c r="A6" s="64"/>
      <c r="B6" s="14"/>
      <c r="C6" s="15"/>
      <c r="D6" s="16" t="s">
        <v>13</v>
      </c>
      <c r="E6" s="18"/>
      <c r="F6" s="18"/>
      <c r="G6" s="18"/>
      <c r="H6" s="18"/>
      <c r="I6" s="18">
        <f>I5/D8</f>
        <v>26.696316649261394</v>
      </c>
      <c r="J6" s="18">
        <f>J5/D8</f>
        <v>26.696316649261394</v>
      </c>
      <c r="K6" s="18" t="e">
        <f>K5/C8</f>
        <v>#VALUE!</v>
      </c>
      <c r="L6" s="18">
        <f>L5/D8</f>
        <v>26.696316649261394</v>
      </c>
      <c r="M6" s="18">
        <f>M5/D8</f>
        <v>26.696316649261394</v>
      </c>
      <c r="N6" s="18">
        <f>N5/E8</f>
        <v>28.324354320331107</v>
      </c>
      <c r="O6" s="18"/>
      <c r="P6" s="12"/>
    </row>
    <row r="7" spans="1:16" ht="15.75" customHeight="1" x14ac:dyDescent="0.3">
      <c r="A7" s="64"/>
      <c r="B7" s="19"/>
      <c r="C7" s="19" t="s">
        <v>14</v>
      </c>
      <c r="D7" s="20">
        <f>D8/A1</f>
        <v>15.782108340498711</v>
      </c>
      <c r="E7" s="21">
        <f>E8/A1</f>
        <v>14.874978503869304</v>
      </c>
      <c r="F7" s="21">
        <f>F8/A1</f>
        <v>15.070060189165948</v>
      </c>
      <c r="G7" s="21">
        <f>G8/A1</f>
        <v>15.240756663800516</v>
      </c>
      <c r="H7" s="21">
        <f>H8/A1</f>
        <v>18.063119518486673</v>
      </c>
      <c r="I7" s="21">
        <f>I8/A1</f>
        <v>20.360894239036973</v>
      </c>
      <c r="J7" s="21">
        <f>J8/A1</f>
        <v>20.360894239036973</v>
      </c>
      <c r="K7" s="21" t="e">
        <f>K8/#REF!</f>
        <v>#REF!</v>
      </c>
      <c r="L7" s="21">
        <f>L8/A1</f>
        <v>20.360894239036973</v>
      </c>
      <c r="M7" s="21">
        <f>M8/A1</f>
        <v>20.360894239036973</v>
      </c>
      <c r="N7" s="21" t="e">
        <f>N8/B1</f>
        <v>#VALUE!</v>
      </c>
      <c r="O7" s="21"/>
      <c r="P7" s="21"/>
    </row>
    <row r="8" spans="1:16" ht="15" x14ac:dyDescent="0.3">
      <c r="A8" s="64"/>
      <c r="B8" s="22"/>
      <c r="C8" s="23" t="s">
        <v>15</v>
      </c>
      <c r="D8" s="24">
        <v>91772.96</v>
      </c>
      <c r="E8" s="17">
        <v>86498</v>
      </c>
      <c r="F8" s="17">
        <v>87632.4</v>
      </c>
      <c r="G8" s="17">
        <v>88625</v>
      </c>
      <c r="H8" s="17">
        <v>105037.04</v>
      </c>
      <c r="I8" s="17">
        <v>118398.6</v>
      </c>
      <c r="J8" s="17">
        <v>118398.6</v>
      </c>
      <c r="K8" s="17">
        <v>118398.6</v>
      </c>
      <c r="L8" s="17">
        <v>118398.6</v>
      </c>
      <c r="M8" s="17">
        <v>118398.6</v>
      </c>
      <c r="N8" s="17">
        <v>118398.6</v>
      </c>
      <c r="O8" s="17"/>
      <c r="P8" s="17"/>
    </row>
    <row r="9" spans="1:16" ht="15" x14ac:dyDescent="0.3">
      <c r="A9" s="65"/>
      <c r="B9" s="25" t="s">
        <v>16</v>
      </c>
      <c r="C9" s="26"/>
      <c r="D9" s="27"/>
      <c r="E9" s="18">
        <f>E8/D8</f>
        <v>0.94252163164400493</v>
      </c>
      <c r="F9" s="18">
        <f>F8/D8</f>
        <v>0.95488257107540164</v>
      </c>
      <c r="G9" s="18">
        <f>G8/D8</f>
        <v>0.96569839307787386</v>
      </c>
      <c r="H9" s="18">
        <f>H8/D8</f>
        <v>1.1445314611188304</v>
      </c>
      <c r="I9" s="28">
        <f>I8/D8</f>
        <v>1.2901251087466286</v>
      </c>
      <c r="J9" s="28">
        <f>J8/D8</f>
        <v>1.2901251087466286</v>
      </c>
      <c r="K9" s="28" t="e">
        <f>K8/C8</f>
        <v>#VALUE!</v>
      </c>
      <c r="L9" s="28">
        <f>L8/D8</f>
        <v>1.2901251087466286</v>
      </c>
      <c r="M9" s="28">
        <f>M8/D8</f>
        <v>1.2901251087466286</v>
      </c>
      <c r="N9" s="28">
        <f>N8/E8</f>
        <v>1.3688015907882263</v>
      </c>
      <c r="O9" s="18"/>
      <c r="P9" s="18"/>
    </row>
    <row r="10" spans="1:16" ht="15.6" x14ac:dyDescent="0.3">
      <c r="A10" s="29"/>
      <c r="B10" s="30"/>
      <c r="C10" s="31"/>
      <c r="D10" s="32"/>
      <c r="E10" s="33"/>
      <c r="F10" s="33"/>
      <c r="G10" s="33"/>
      <c r="H10" s="33"/>
      <c r="I10" s="34"/>
      <c r="J10" s="34"/>
      <c r="K10" s="34"/>
      <c r="L10" s="34"/>
      <c r="M10" s="34"/>
      <c r="N10" s="34"/>
      <c r="O10" s="35"/>
      <c r="P10" s="18"/>
    </row>
    <row r="11" spans="1:16" ht="162.75" customHeight="1" x14ac:dyDescent="0.3">
      <c r="A11" s="36"/>
      <c r="B11" s="66" t="s">
        <v>17</v>
      </c>
      <c r="C11" s="67"/>
      <c r="D11" s="68"/>
      <c r="E11" s="37" t="s">
        <v>18</v>
      </c>
      <c r="F11" s="38"/>
      <c r="G11" s="38"/>
      <c r="H11" s="38"/>
      <c r="I11" s="39"/>
      <c r="J11" s="39"/>
      <c r="K11" s="39"/>
      <c r="L11" s="39"/>
      <c r="M11" s="39"/>
      <c r="N11" s="39"/>
      <c r="O11" s="40"/>
      <c r="P11" s="40"/>
    </row>
    <row r="12" spans="1:16" s="42" customFormat="1" x14ac:dyDescent="0.3">
      <c r="A12" s="36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0"/>
      <c r="P12" s="40"/>
    </row>
    <row r="13" spans="1:16" x14ac:dyDescent="0.3">
      <c r="A13" s="36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0"/>
      <c r="P13" s="40"/>
    </row>
    <row r="14" spans="1:16" x14ac:dyDescent="0.3">
      <c r="A14" s="36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3"/>
      <c r="P14" s="43"/>
    </row>
    <row r="15" spans="1:16" ht="75" customHeight="1" x14ac:dyDescent="0.3">
      <c r="A15" s="36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3"/>
      <c r="P15" s="43"/>
    </row>
    <row r="16" spans="1:16" ht="105" customHeight="1" x14ac:dyDescent="0.3">
      <c r="A16" s="36"/>
      <c r="B16" s="41"/>
      <c r="C16" s="41"/>
      <c r="D16" s="41" t="s">
        <v>19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3"/>
      <c r="P16" s="43"/>
    </row>
    <row r="17" spans="1:16" ht="138" customHeight="1" x14ac:dyDescent="0.3">
      <c r="A17" s="36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4"/>
      <c r="P17" s="43"/>
    </row>
    <row r="18" spans="1:16" ht="45" customHeight="1" x14ac:dyDescent="0.3">
      <c r="A18" s="36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5"/>
      <c r="P18" s="43"/>
    </row>
    <row r="19" spans="1:16" x14ac:dyDescent="0.3">
      <c r="A19" s="36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3"/>
      <c r="P19" s="43"/>
    </row>
    <row r="20" spans="1:16" x14ac:dyDescent="0.3">
      <c r="A20" s="36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3"/>
      <c r="P20" s="43"/>
    </row>
    <row r="21" spans="1:16" x14ac:dyDescent="0.3">
      <c r="A21" s="36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3"/>
      <c r="P21" s="43"/>
    </row>
    <row r="22" spans="1:16" x14ac:dyDescent="0.3">
      <c r="A22" s="36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3"/>
      <c r="P22" s="43"/>
    </row>
    <row r="23" spans="1:16" ht="41.25" customHeight="1" x14ac:dyDescent="0.3">
      <c r="A23" s="36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3"/>
      <c r="P23" s="43"/>
    </row>
    <row r="24" spans="1:16" x14ac:dyDescent="0.3">
      <c r="A24" s="36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3"/>
      <c r="P24" s="43"/>
    </row>
    <row r="25" spans="1:16" ht="165" customHeight="1" x14ac:dyDescent="0.3">
      <c r="A25" s="36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3"/>
      <c r="P25" s="43"/>
    </row>
    <row r="26" spans="1:16" x14ac:dyDescent="0.3">
      <c r="A26" s="36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3"/>
      <c r="P26" s="43"/>
    </row>
    <row r="27" spans="1:16" ht="28.5" customHeight="1" x14ac:dyDescent="0.3">
      <c r="A27" s="36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3"/>
      <c r="P27" s="43"/>
    </row>
    <row r="28" spans="1:16" x14ac:dyDescent="0.3">
      <c r="A28" s="36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3"/>
      <c r="P28" s="43"/>
    </row>
    <row r="29" spans="1:16" x14ac:dyDescent="0.3">
      <c r="A29" s="36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3"/>
      <c r="P29" s="43"/>
    </row>
    <row r="30" spans="1:16" x14ac:dyDescent="0.3">
      <c r="A30" s="36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3"/>
      <c r="P30" s="43"/>
    </row>
    <row r="31" spans="1:16" x14ac:dyDescent="0.3">
      <c r="A31" s="36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3"/>
      <c r="P31" s="43"/>
    </row>
    <row r="32" spans="1:16" x14ac:dyDescent="0.3">
      <c r="A32" s="36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3"/>
      <c r="P32" s="43"/>
    </row>
    <row r="33" spans="1:17" x14ac:dyDescent="0.3">
      <c r="A33" s="36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3"/>
      <c r="P33" s="43"/>
    </row>
    <row r="34" spans="1:17" ht="60" customHeight="1" x14ac:dyDescent="0.3">
      <c r="A34" s="36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3"/>
      <c r="P34" s="43"/>
    </row>
    <row r="35" spans="1:17" ht="28.5" customHeight="1" x14ac:dyDescent="0.3">
      <c r="A35" s="36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3"/>
      <c r="P35" s="43"/>
    </row>
    <row r="36" spans="1:17" ht="71.25" customHeight="1" x14ac:dyDescent="0.3">
      <c r="A36" s="36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3"/>
      <c r="P36" s="43" t="s">
        <v>20</v>
      </c>
      <c r="Q36" s="6" t="s">
        <v>21</v>
      </c>
    </row>
    <row r="37" spans="1:17" x14ac:dyDescent="0.3">
      <c r="A37" s="36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3"/>
      <c r="P37" s="43"/>
    </row>
    <row r="38" spans="1:17" x14ac:dyDescent="0.3">
      <c r="A38" s="36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3"/>
      <c r="P38" s="43"/>
    </row>
    <row r="39" spans="1:17" ht="291" customHeight="1" x14ac:dyDescent="0.3">
      <c r="A39" s="36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3"/>
      <c r="P39" s="43"/>
    </row>
    <row r="40" spans="1:17" x14ac:dyDescent="0.3">
      <c r="A40" s="36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3"/>
      <c r="P40" s="43"/>
    </row>
    <row r="41" spans="1:17" x14ac:dyDescent="0.3">
      <c r="A41" s="36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3"/>
      <c r="P41" s="43"/>
    </row>
    <row r="42" spans="1:17" x14ac:dyDescent="0.3">
      <c r="A42" s="36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3"/>
      <c r="P42" s="43"/>
    </row>
    <row r="43" spans="1:17" ht="56.25" customHeight="1" x14ac:dyDescent="0.3">
      <c r="A43" s="36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6"/>
      <c r="P43" s="43"/>
    </row>
    <row r="44" spans="1:17" ht="131.25" customHeight="1" x14ac:dyDescent="0.3">
      <c r="A44" s="36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3"/>
      <c r="P44" s="43"/>
    </row>
    <row r="45" spans="1:17" x14ac:dyDescent="0.3">
      <c r="A45" s="36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3"/>
      <c r="P45" s="43"/>
    </row>
    <row r="46" spans="1:17" x14ac:dyDescent="0.3">
      <c r="A46" s="36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3"/>
      <c r="P46" s="43"/>
    </row>
    <row r="47" spans="1:17" x14ac:dyDescent="0.3">
      <c r="A47" s="36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3"/>
      <c r="P47" s="43"/>
    </row>
    <row r="48" spans="1:17" ht="28.5" customHeight="1" x14ac:dyDescent="0.3">
      <c r="A48" s="36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3"/>
      <c r="P48" s="43"/>
    </row>
    <row r="49" spans="1:16" ht="28.5" customHeight="1" x14ac:dyDescent="0.3">
      <c r="A49" s="36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3"/>
      <c r="P49" s="43"/>
    </row>
    <row r="50" spans="1:16" x14ac:dyDescent="0.3">
      <c r="A50" s="36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3"/>
      <c r="P50" s="43"/>
    </row>
    <row r="51" spans="1:16" x14ac:dyDescent="0.3">
      <c r="A51" s="36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3"/>
      <c r="P51" s="43"/>
    </row>
    <row r="52" spans="1:16" x14ac:dyDescent="0.3">
      <c r="A52" s="36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3"/>
      <c r="P52" s="43"/>
    </row>
    <row r="53" spans="1:16" ht="103.5" customHeight="1" x14ac:dyDescent="0.3">
      <c r="A53" s="36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3"/>
      <c r="P53" s="43"/>
    </row>
    <row r="54" spans="1:16" ht="99.75" customHeight="1" x14ac:dyDescent="0.3">
      <c r="A54" s="36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3"/>
      <c r="P54" s="43"/>
    </row>
    <row r="55" spans="1:16" s="10" customFormat="1" ht="152.25" customHeight="1" x14ac:dyDescent="0.3">
      <c r="A55" s="36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3"/>
      <c r="P55" s="43"/>
    </row>
    <row r="56" spans="1:16" s="10" customFormat="1" ht="105.75" customHeight="1" x14ac:dyDescent="0.3">
      <c r="A56" s="36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3"/>
      <c r="P56" s="43"/>
    </row>
    <row r="57" spans="1:16" s="10" customFormat="1" ht="156" customHeight="1" x14ac:dyDescent="0.3">
      <c r="A57" s="36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3"/>
      <c r="P57" s="43"/>
    </row>
    <row r="58" spans="1:16" s="10" customFormat="1" ht="105" customHeight="1" x14ac:dyDescent="0.3">
      <c r="A58" s="36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3"/>
      <c r="P58" s="43"/>
    </row>
    <row r="59" spans="1:16" s="10" customFormat="1" ht="105.75" customHeight="1" x14ac:dyDescent="0.3">
      <c r="A59" s="36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7" t="s">
        <v>22</v>
      </c>
      <c r="P59" s="43"/>
    </row>
    <row r="60" spans="1:16" s="10" customFormat="1" ht="112.5" customHeight="1" x14ac:dyDescent="0.3">
      <c r="A60" s="36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7" t="s">
        <v>23</v>
      </c>
      <c r="P60" s="43"/>
    </row>
    <row r="61" spans="1:16" s="10" customFormat="1" ht="112.5" customHeight="1" x14ac:dyDescent="0.3">
      <c r="A61" s="36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3"/>
      <c r="P61" s="43"/>
    </row>
    <row r="62" spans="1:16" s="10" customFormat="1" ht="112.5" customHeight="1" x14ac:dyDescent="0.3">
      <c r="A62" s="36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3"/>
      <c r="P62" s="43"/>
    </row>
    <row r="63" spans="1:16" s="10" customFormat="1" ht="50.25" customHeight="1" x14ac:dyDescent="0.3">
      <c r="A63" s="36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3"/>
      <c r="P63" s="43"/>
    </row>
    <row r="64" spans="1:16" s="10" customFormat="1" ht="42.75" customHeight="1" x14ac:dyDescent="0.3">
      <c r="A64" s="36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3"/>
      <c r="P64" s="43"/>
    </row>
    <row r="65" spans="1:16" s="10" customFormat="1" ht="28.5" customHeight="1" x14ac:dyDescent="0.3">
      <c r="A65" s="36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3"/>
      <c r="P65" s="43"/>
    </row>
    <row r="66" spans="1:16" s="10" customFormat="1" ht="33" customHeight="1" x14ac:dyDescent="0.3">
      <c r="A66" s="36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3"/>
      <c r="P66" s="43"/>
    </row>
    <row r="67" spans="1:16" s="10" customFormat="1" ht="127.5" customHeight="1" x14ac:dyDescent="0.3">
      <c r="A67" s="36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8"/>
      <c r="P67" s="43"/>
    </row>
    <row r="68" spans="1:16" s="10" customFormat="1" ht="120" customHeight="1" x14ac:dyDescent="0.3">
      <c r="A68" s="36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3"/>
      <c r="P68" s="43"/>
    </row>
    <row r="69" spans="1:16" s="10" customFormat="1" x14ac:dyDescent="0.3">
      <c r="A69" s="36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9"/>
      <c r="P69" s="43"/>
    </row>
    <row r="70" spans="1:16" s="10" customFormat="1" ht="28.5" customHeight="1" x14ac:dyDescent="0.3">
      <c r="A70" s="36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3"/>
      <c r="P70" s="43"/>
    </row>
    <row r="71" spans="1:16" s="10" customFormat="1" ht="42.75" customHeight="1" x14ac:dyDescent="0.3">
      <c r="A71" s="36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3"/>
      <c r="P71" s="43"/>
    </row>
    <row r="72" spans="1:16" s="10" customFormat="1" x14ac:dyDescent="0.3">
      <c r="A72" s="36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3"/>
      <c r="P72" s="43"/>
    </row>
    <row r="73" spans="1:16" s="10" customFormat="1" ht="28.5" customHeight="1" x14ac:dyDescent="0.3">
      <c r="A73" s="36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3"/>
      <c r="P73" s="43"/>
    </row>
    <row r="74" spans="1:16" s="10" customFormat="1" ht="15.75" customHeight="1" x14ac:dyDescent="0.3">
      <c r="A74" s="36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3"/>
      <c r="P74" s="43"/>
    </row>
    <row r="75" spans="1:16" s="10" customFormat="1" ht="15.75" customHeight="1" x14ac:dyDescent="0.3">
      <c r="A75" s="36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3"/>
      <c r="P75" s="43"/>
    </row>
    <row r="76" spans="1:16" s="10" customFormat="1" ht="15.75" customHeight="1" x14ac:dyDescent="0.3">
      <c r="A76" s="36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3"/>
      <c r="P76" s="43"/>
    </row>
    <row r="77" spans="1:16" s="10" customFormat="1" ht="33.75" customHeight="1" x14ac:dyDescent="0.3">
      <c r="A77" s="36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3"/>
      <c r="P77" s="43"/>
    </row>
    <row r="78" spans="1:16" s="10" customFormat="1" ht="15.75" customHeight="1" x14ac:dyDescent="0.3">
      <c r="A78" s="36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3"/>
      <c r="P78" s="43"/>
    </row>
    <row r="79" spans="1:16" s="10" customFormat="1" ht="15.75" customHeight="1" x14ac:dyDescent="0.3">
      <c r="A79" s="36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3"/>
      <c r="P79" s="43"/>
    </row>
    <row r="80" spans="1:16" s="10" customFormat="1" ht="15.75" customHeight="1" x14ac:dyDescent="0.3">
      <c r="A80" s="36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3"/>
      <c r="P80" s="43"/>
    </row>
    <row r="81" spans="1:17" s="10" customFormat="1" ht="15.75" customHeight="1" x14ac:dyDescent="0.3">
      <c r="A81" s="36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3"/>
      <c r="P81" s="43"/>
    </row>
    <row r="82" spans="1:17" s="10" customFormat="1" x14ac:dyDescent="0.3">
      <c r="A82" s="36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3"/>
      <c r="P82" s="43"/>
    </row>
    <row r="83" spans="1:17" s="10" customFormat="1" ht="15.75" customHeight="1" x14ac:dyDescent="0.3">
      <c r="A83" s="36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3"/>
      <c r="P83" s="43"/>
    </row>
    <row r="84" spans="1:17" s="10" customFormat="1" ht="15.75" customHeight="1" x14ac:dyDescent="0.3">
      <c r="A84" s="36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3"/>
      <c r="P84" s="43"/>
    </row>
    <row r="85" spans="1:17" s="10" customFormat="1" ht="28.5" customHeight="1" x14ac:dyDescent="0.3">
      <c r="A85" s="36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3"/>
      <c r="P85" s="43"/>
    </row>
    <row r="86" spans="1:17" s="10" customFormat="1" x14ac:dyDescent="0.3">
      <c r="A86" s="36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3"/>
      <c r="P86" s="43"/>
    </row>
    <row r="87" spans="1:17" s="10" customFormat="1" ht="15.75" customHeight="1" x14ac:dyDescent="0.3">
      <c r="A87" s="36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3"/>
      <c r="P87" s="43"/>
    </row>
    <row r="88" spans="1:17" s="10" customFormat="1" x14ac:dyDescent="0.3">
      <c r="A88" s="50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3"/>
      <c r="P88" s="43"/>
    </row>
    <row r="89" spans="1:17" s="10" customFormat="1" x14ac:dyDescent="0.3">
      <c r="A89" s="50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3"/>
      <c r="P89" s="43"/>
    </row>
    <row r="90" spans="1:17" s="10" customFormat="1" ht="15.75" customHeight="1" x14ac:dyDescent="0.3">
      <c r="A90" s="50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3"/>
      <c r="P90" s="43"/>
    </row>
    <row r="91" spans="1:17" ht="28.5" customHeight="1" x14ac:dyDescent="0.3">
      <c r="A91" s="50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3"/>
      <c r="P91" s="43"/>
      <c r="Q91" s="10"/>
    </row>
    <row r="92" spans="1:17" ht="28.5" customHeight="1" x14ac:dyDescent="0.3">
      <c r="A92" s="50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3"/>
      <c r="P92" s="43"/>
      <c r="Q92" s="10"/>
    </row>
    <row r="93" spans="1:17" x14ac:dyDescent="0.3">
      <c r="A93" s="50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3"/>
      <c r="P93" s="43"/>
      <c r="Q93" s="10"/>
    </row>
    <row r="94" spans="1:17" x14ac:dyDescent="0.3">
      <c r="A94" s="50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3"/>
      <c r="P94" s="43"/>
      <c r="Q94" s="10"/>
    </row>
    <row r="95" spans="1:17" ht="62.25" customHeight="1" x14ac:dyDescent="0.3">
      <c r="A95" s="50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3"/>
      <c r="P95" s="43"/>
      <c r="Q95" s="10"/>
    </row>
    <row r="96" spans="1:17" ht="51" customHeight="1" x14ac:dyDescent="0.3">
      <c r="A96" s="50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3"/>
      <c r="P96" s="43"/>
      <c r="Q96" s="10"/>
    </row>
    <row r="97" spans="1:17" ht="42.75" customHeight="1" x14ac:dyDescent="0.3">
      <c r="A97" s="50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3"/>
      <c r="P97" s="43"/>
      <c r="Q97" s="10"/>
    </row>
    <row r="98" spans="1:17" ht="45.75" customHeight="1" x14ac:dyDescent="0.3">
      <c r="A98" s="50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3"/>
      <c r="P98" s="43"/>
      <c r="Q98" s="10"/>
    </row>
    <row r="99" spans="1:17" x14ac:dyDescent="0.3">
      <c r="A99" s="50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3"/>
      <c r="P99" s="43" t="s">
        <v>20</v>
      </c>
      <c r="Q99" s="10" t="s">
        <v>20</v>
      </c>
    </row>
    <row r="100" spans="1:17" ht="57" customHeight="1" x14ac:dyDescent="0.3">
      <c r="A100" s="50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3"/>
      <c r="P100" s="43"/>
      <c r="Q100" s="10"/>
    </row>
    <row r="101" spans="1:17" ht="108.75" customHeight="1" x14ac:dyDescent="0.3">
      <c r="A101" s="50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3"/>
      <c r="P101" s="43"/>
      <c r="Q101" s="10"/>
    </row>
    <row r="102" spans="1:17" ht="58.5" customHeight="1" x14ac:dyDescent="0.3">
      <c r="A102" s="50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3"/>
      <c r="P102" s="43"/>
      <c r="Q102" s="10"/>
    </row>
    <row r="103" spans="1:17" ht="28.5" customHeight="1" x14ac:dyDescent="0.3">
      <c r="A103" s="50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3"/>
      <c r="P103" s="43"/>
      <c r="Q103" s="10"/>
    </row>
    <row r="104" spans="1:17" ht="28.5" customHeight="1" x14ac:dyDescent="0.3">
      <c r="A104" s="50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3"/>
      <c r="P104" s="43"/>
      <c r="Q104" s="10"/>
    </row>
    <row r="105" spans="1:17" ht="44.25" customHeight="1" x14ac:dyDescent="0.3">
      <c r="A105" s="50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3"/>
      <c r="P105" s="43"/>
      <c r="Q105" s="10"/>
    </row>
    <row r="106" spans="1:17" ht="85.5" customHeight="1" x14ac:dyDescent="0.3">
      <c r="A106" s="50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3"/>
      <c r="P106" s="43"/>
      <c r="Q106" s="10"/>
    </row>
    <row r="107" spans="1:17" ht="15.75" customHeight="1" x14ac:dyDescent="0.3">
      <c r="A107" s="50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3"/>
      <c r="P107" s="43"/>
      <c r="Q107" s="10"/>
    </row>
    <row r="108" spans="1:17" x14ac:dyDescent="0.3">
      <c r="A108" s="50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3"/>
      <c r="P108" s="43"/>
      <c r="Q108" s="10"/>
    </row>
  </sheetData>
  <mergeCells count="3">
    <mergeCell ref="B1:D4"/>
    <mergeCell ref="A5:A9"/>
    <mergeCell ref="B11:D11"/>
  </mergeCells>
  <hyperlinks>
    <hyperlink ref="A2" r:id="rId1" xr:uid="{CD24C0E5-8BE2-41A4-86A4-39F06EBB067A}"/>
  </hyperlinks>
  <printOptions horizontalCentered="1" verticalCentered="1"/>
  <pageMargins left="0.19685039370078741" right="0.19685039370078741" top="0.19685039370078741" bottom="0.19685039370078741" header="0.19685039370078741" footer="0.19685039370078741"/>
  <pageSetup paperSize="256" scale="9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Lot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</cp:lastModifiedBy>
  <dcterms:created xsi:type="dcterms:W3CDTF">2025-11-19T20:56:51Z</dcterms:created>
  <dcterms:modified xsi:type="dcterms:W3CDTF">2025-11-19T21:39:39Z</dcterms:modified>
</cp:coreProperties>
</file>
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192.168.110.2\Dispozitive\+LP ADM 2026\+PROCEDURI CENTRALIZATE\21463195 COnsumabile pentru DM 2026 nr.2\modificari\"/>
    </mc:Choice>
  </mc:AlternateContent>
  <xr:revisionPtr revIDLastSave="0" documentId="13_ncr:1_{FFEBEF93-0673-45E5-887A-4EC1A266DF28}" xr6:coauthVersionLast="47" xr6:coauthVersionMax="47" xr10:uidLastSave="{00000000-0000-0000-0000-000000000000}"/>
  <bookViews>
    <workbookView xWindow="-120" yWindow="-120" windowWidth="29040" windowHeight="15720" activeTab="1" xr2:uid="{00000000-000D-0000-FFFF-FFFF00000000}"/>
  </bookViews>
  <sheets>
    <sheet name="SUplimentar" sheetId="1" r:id="rId1"/>
    <sheet name="SUplimentar (2)" sheetId="2" r:id="rId2"/>
  </sheets>
  <definedNames>
    <definedName name="_xlnm._FilterDatabase" localSheetId="0" hidden="1">SUplimentar!$A$1:$P$264</definedName>
    <definedName name="_xlnm._FilterDatabase" localSheetId="1" hidden="1">'SUplimentar (2)'!$A$1:$AP$266</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S265" i="2" l="1"/>
  <c r="AP237" i="2"/>
  <c r="AQ237" i="2" s="1"/>
  <c r="AR237" i="2" s="1"/>
  <c r="AP238" i="2"/>
  <c r="AQ238" i="2" s="1"/>
  <c r="AR238" i="2" s="1"/>
  <c r="AP239" i="2"/>
  <c r="AQ239" i="2" s="1"/>
  <c r="AR239" i="2" s="1"/>
  <c r="AP240" i="2"/>
  <c r="AQ240" i="2" s="1"/>
  <c r="AR240" i="2" s="1"/>
  <c r="AP241" i="2"/>
  <c r="AQ241" i="2" s="1"/>
  <c r="AR241" i="2" s="1"/>
  <c r="AP242" i="2"/>
  <c r="AQ242" i="2" s="1"/>
  <c r="AR242" i="2" s="1"/>
  <c r="AP243" i="2"/>
  <c r="AQ243" i="2" s="1"/>
  <c r="AR243" i="2" s="1"/>
  <c r="AP244" i="2"/>
  <c r="AQ244" i="2" s="1"/>
  <c r="AR244" i="2" s="1"/>
  <c r="AP245" i="2"/>
  <c r="AQ245" i="2" s="1"/>
  <c r="AR245" i="2" s="1"/>
  <c r="AP246" i="2"/>
  <c r="AQ246" i="2" s="1"/>
  <c r="AR246" i="2" s="1"/>
  <c r="AP247" i="2"/>
  <c r="AQ247" i="2" s="1"/>
  <c r="AR247" i="2" s="1"/>
  <c r="AP248" i="2"/>
  <c r="AQ248" i="2" s="1"/>
  <c r="AR248" i="2" s="1"/>
  <c r="AP249" i="2"/>
  <c r="AQ249" i="2" s="1"/>
  <c r="AR249" i="2" s="1"/>
  <c r="AP250" i="2"/>
  <c r="AQ250" i="2" s="1"/>
  <c r="AR250" i="2" s="1"/>
  <c r="AP251" i="2"/>
  <c r="AQ251" i="2" s="1"/>
  <c r="AR251" i="2" s="1"/>
  <c r="AP252" i="2"/>
  <c r="AQ252" i="2" s="1"/>
  <c r="AR252" i="2" s="1"/>
  <c r="AP253" i="2"/>
  <c r="AQ253" i="2" s="1"/>
  <c r="AR253" i="2" s="1"/>
  <c r="AP254" i="2"/>
  <c r="AQ254" i="2" s="1"/>
  <c r="AR254" i="2" s="1"/>
  <c r="AP255" i="2"/>
  <c r="AQ255" i="2" s="1"/>
  <c r="AR255" i="2" s="1"/>
  <c r="AP256" i="2"/>
  <c r="AQ256" i="2" s="1"/>
  <c r="AR256" i="2" s="1"/>
  <c r="AP257" i="2"/>
  <c r="AQ257" i="2" s="1"/>
  <c r="AR257" i="2" s="1"/>
  <c r="AP258" i="2"/>
  <c r="AQ258" i="2" s="1"/>
  <c r="AR258" i="2" s="1"/>
  <c r="AP259" i="2"/>
  <c r="AQ259" i="2" s="1"/>
  <c r="AR259" i="2" s="1"/>
  <c r="AP260" i="2"/>
  <c r="AQ260" i="2" s="1"/>
  <c r="AR260" i="2" s="1"/>
  <c r="AP261" i="2"/>
  <c r="AQ261" i="2" s="1"/>
  <c r="AR261" i="2" s="1"/>
  <c r="AP262" i="2"/>
  <c r="AQ262" i="2" s="1"/>
  <c r="AR262" i="2" s="1"/>
  <c r="AP263" i="2"/>
  <c r="AQ263" i="2" s="1"/>
  <c r="AR263" i="2" s="1"/>
  <c r="AP264" i="2"/>
  <c r="AQ264" i="2" s="1"/>
  <c r="AR264" i="2" s="1"/>
  <c r="AP228" i="2"/>
  <c r="AQ228" i="2" s="1"/>
  <c r="AR228" i="2" s="1"/>
  <c r="AP100" i="2"/>
  <c r="AQ100" i="2" s="1"/>
  <c r="AR100" i="2" s="1"/>
  <c r="AP67" i="2"/>
  <c r="AQ67" i="2" s="1"/>
  <c r="AR67" i="2" s="1"/>
  <c r="AP68" i="2"/>
  <c r="AQ68" i="2" s="1"/>
  <c r="AR68" i="2" s="1"/>
  <c r="AP235" i="2"/>
  <c r="AQ235" i="2" s="1"/>
  <c r="AR235" i="2" s="1"/>
  <c r="AP148" i="2"/>
  <c r="AQ148" i="2" s="1"/>
  <c r="AR148" i="2" s="1"/>
  <c r="AP102" i="2"/>
  <c r="AQ102" i="2" s="1"/>
  <c r="AR102" i="2" s="1"/>
  <c r="AP236" i="2"/>
  <c r="AQ236" i="2" s="1"/>
  <c r="AR236" i="2" s="1"/>
  <c r="AP224" i="2"/>
  <c r="AQ224" i="2" s="1"/>
  <c r="AR224" i="2" s="1"/>
  <c r="AP163" i="2"/>
  <c r="AQ163" i="2" s="1"/>
  <c r="AR163" i="2" s="1"/>
  <c r="AP4" i="2"/>
  <c r="AQ4" i="2" s="1"/>
  <c r="AR4" i="2" s="1"/>
  <c r="AP165" i="2"/>
  <c r="AQ165" i="2" s="1"/>
  <c r="AR165" i="2" s="1"/>
  <c r="AP162" i="2"/>
  <c r="AQ162" i="2" s="1"/>
  <c r="AR162" i="2" s="1"/>
  <c r="AP3" i="2"/>
  <c r="AQ3" i="2" s="1"/>
  <c r="AR3" i="2" s="1"/>
  <c r="AP161" i="2"/>
  <c r="AQ161" i="2" s="1"/>
  <c r="AR161" i="2" s="1"/>
  <c r="AP13" i="2"/>
  <c r="AQ13" i="2" s="1"/>
  <c r="AR13" i="2" s="1"/>
  <c r="AP164" i="2"/>
  <c r="AQ164" i="2" s="1"/>
  <c r="AR164" i="2" s="1"/>
  <c r="AP2" i="2"/>
  <c r="AQ2" i="2" s="1"/>
  <c r="AR2" i="2" s="1"/>
  <c r="AP49" i="2"/>
  <c r="AQ49" i="2" s="1"/>
  <c r="AR49" i="2" s="1"/>
  <c r="AP6" i="2"/>
  <c r="AQ6" i="2" s="1"/>
  <c r="AR6" i="2" s="1"/>
  <c r="AP106" i="2"/>
  <c r="AQ106" i="2" s="1"/>
  <c r="AR106" i="2" s="1"/>
  <c r="AP7" i="2"/>
  <c r="AQ7" i="2" s="1"/>
  <c r="AR7" i="2" s="1"/>
  <c r="AP210" i="2"/>
  <c r="AQ210" i="2" s="1"/>
  <c r="AR210" i="2" s="1"/>
  <c r="AP20" i="2"/>
  <c r="AQ20" i="2" s="1"/>
  <c r="AR20" i="2" s="1"/>
  <c r="AP14" i="2"/>
  <c r="AQ14" i="2" s="1"/>
  <c r="AR14" i="2" s="1"/>
  <c r="AP166" i="2"/>
  <c r="AQ166" i="2" s="1"/>
  <c r="AR166" i="2" s="1"/>
  <c r="AP155" i="2"/>
  <c r="AQ155" i="2" s="1"/>
  <c r="AR155" i="2" s="1"/>
  <c r="AP167" i="2"/>
  <c r="AQ167" i="2" s="1"/>
  <c r="AR167" i="2" s="1"/>
  <c r="AP40" i="2"/>
  <c r="AQ40" i="2" s="1"/>
  <c r="AR40" i="2" s="1"/>
  <c r="AP39" i="2"/>
  <c r="AQ39" i="2" s="1"/>
  <c r="AR39" i="2" s="1"/>
  <c r="AP196" i="2"/>
  <c r="AQ196" i="2" s="1"/>
  <c r="AR196" i="2" s="1"/>
  <c r="AP197" i="2"/>
  <c r="AQ197" i="2" s="1"/>
  <c r="AR197" i="2" s="1"/>
  <c r="AP154" i="2"/>
  <c r="AQ154" i="2" s="1"/>
  <c r="AR154" i="2" s="1"/>
  <c r="AP22" i="2"/>
  <c r="AQ22" i="2" s="1"/>
  <c r="AR22" i="2" s="1"/>
  <c r="AP21" i="2"/>
  <c r="AQ21" i="2" s="1"/>
  <c r="AR21" i="2" s="1"/>
  <c r="AP150" i="2"/>
  <c r="AQ150" i="2" s="1"/>
  <c r="AR150" i="2" s="1"/>
  <c r="AP149" i="2"/>
  <c r="AQ149" i="2" s="1"/>
  <c r="AR149" i="2" s="1"/>
  <c r="AP216" i="2"/>
  <c r="AQ216" i="2" s="1"/>
  <c r="AR216" i="2" s="1"/>
  <c r="AP198" i="2"/>
  <c r="AQ198" i="2" s="1"/>
  <c r="AR198" i="2" s="1"/>
  <c r="AP60" i="2"/>
  <c r="AQ60" i="2" s="1"/>
  <c r="AR60" i="2" s="1"/>
  <c r="AP61" i="2"/>
  <c r="AQ61" i="2" s="1"/>
  <c r="AR61" i="2" s="1"/>
  <c r="AP105" i="2"/>
  <c r="AQ105" i="2" s="1"/>
  <c r="AR105" i="2" s="1"/>
  <c r="AP83" i="2"/>
  <c r="AQ83" i="2" s="1"/>
  <c r="AR83" i="2" s="1"/>
  <c r="AP12" i="2"/>
  <c r="AQ12" i="2" s="1"/>
  <c r="AR12" i="2" s="1"/>
  <c r="AP80" i="2"/>
  <c r="AQ80" i="2" s="1"/>
  <c r="AR80" i="2" s="1"/>
  <c r="AP219" i="2"/>
  <c r="AQ219" i="2" s="1"/>
  <c r="AR219" i="2" s="1"/>
  <c r="AP58" i="2"/>
  <c r="AQ58" i="2" s="1"/>
  <c r="AR58" i="2" s="1"/>
  <c r="AP99" i="2"/>
  <c r="AQ99" i="2" s="1"/>
  <c r="AR99" i="2" s="1"/>
  <c r="AP221" i="2"/>
  <c r="AQ221" i="2" s="1"/>
  <c r="AR221" i="2" s="1"/>
  <c r="AP57" i="2"/>
  <c r="AQ57" i="2" s="1"/>
  <c r="AR57" i="2" s="1"/>
  <c r="AP71" i="2"/>
  <c r="AQ71" i="2" s="1"/>
  <c r="AR71" i="2" s="1"/>
  <c r="AP195" i="2"/>
  <c r="AQ195" i="2" s="1"/>
  <c r="AR195" i="2" s="1"/>
  <c r="AP44" i="2"/>
  <c r="AQ44" i="2" s="1"/>
  <c r="AR44" i="2" s="1"/>
  <c r="AP73" i="2"/>
  <c r="AQ73" i="2" s="1"/>
  <c r="AR73" i="2" s="1"/>
  <c r="AP30" i="2"/>
  <c r="AQ30" i="2" s="1"/>
  <c r="AR30" i="2" s="1"/>
  <c r="AP116" i="2"/>
  <c r="AQ116" i="2" s="1"/>
  <c r="AR116" i="2" s="1"/>
  <c r="AP118" i="2"/>
  <c r="AQ118" i="2" s="1"/>
  <c r="AR118" i="2" s="1"/>
  <c r="AP214" i="2"/>
  <c r="AQ214" i="2" s="1"/>
  <c r="AR214" i="2" s="1"/>
  <c r="AP186" i="2"/>
  <c r="AQ186" i="2" s="1"/>
  <c r="AR186" i="2" s="1"/>
  <c r="AP222" i="2"/>
  <c r="AQ222" i="2" s="1"/>
  <c r="AR222" i="2" s="1"/>
  <c r="AP211" i="2"/>
  <c r="AQ211" i="2" s="1"/>
  <c r="AR211" i="2" s="1"/>
  <c r="AP59" i="2"/>
  <c r="AQ59" i="2" s="1"/>
  <c r="AR59" i="2" s="1"/>
  <c r="AP56" i="2"/>
  <c r="AQ56" i="2" s="1"/>
  <c r="AR56" i="2" s="1"/>
  <c r="AP179" i="2"/>
  <c r="AQ179" i="2" s="1"/>
  <c r="AR179" i="2" s="1"/>
  <c r="AP15" i="2"/>
  <c r="AQ15" i="2" s="1"/>
  <c r="AR15" i="2" s="1"/>
  <c r="AP127" i="2"/>
  <c r="AQ127" i="2" s="1"/>
  <c r="AR127" i="2" s="1"/>
  <c r="AP233" i="2"/>
  <c r="AQ233" i="2" s="1"/>
  <c r="AR233" i="2" s="1"/>
  <c r="AP232" i="2"/>
  <c r="AQ232" i="2" s="1"/>
  <c r="AR232" i="2" s="1"/>
  <c r="AP160" i="2"/>
  <c r="AQ160" i="2" s="1"/>
  <c r="AR160" i="2" s="1"/>
  <c r="AP182" i="2"/>
  <c r="AQ182" i="2" s="1"/>
  <c r="AR182" i="2" s="1"/>
  <c r="AP62" i="2"/>
  <c r="AQ62" i="2" s="1"/>
  <c r="AR62" i="2" s="1"/>
  <c r="AP115" i="2"/>
  <c r="AQ115" i="2" s="1"/>
  <c r="AR115" i="2" s="1"/>
  <c r="AP194" i="2"/>
  <c r="AQ194" i="2" s="1"/>
  <c r="AR194" i="2" s="1"/>
  <c r="AP26" i="2"/>
  <c r="AQ26" i="2" s="1"/>
  <c r="AR26" i="2" s="1"/>
  <c r="AP29" i="2"/>
  <c r="AQ29" i="2" s="1"/>
  <c r="AR29" i="2" s="1"/>
  <c r="AP24" i="2"/>
  <c r="AQ24" i="2" s="1"/>
  <c r="AR24" i="2" s="1"/>
  <c r="AP27" i="2"/>
  <c r="AQ27" i="2" s="1"/>
  <c r="AR27" i="2" s="1"/>
  <c r="AP18" i="2"/>
  <c r="AQ18" i="2" s="1"/>
  <c r="AR18" i="2" s="1"/>
  <c r="AP129" i="2"/>
  <c r="AQ129" i="2" s="1"/>
  <c r="AR129" i="2" s="1"/>
  <c r="AP117" i="2"/>
  <c r="AQ117" i="2" s="1"/>
  <c r="AR117" i="2" s="1"/>
  <c r="AP175" i="2"/>
  <c r="AQ175" i="2" s="1"/>
  <c r="AR175" i="2" s="1"/>
  <c r="AP168" i="2"/>
  <c r="AQ168" i="2" s="1"/>
  <c r="AR168" i="2" s="1"/>
  <c r="AP170" i="2"/>
  <c r="AQ170" i="2" s="1"/>
  <c r="AR170" i="2" s="1"/>
  <c r="AP173" i="2"/>
  <c r="AQ173" i="2" s="1"/>
  <c r="AR173" i="2" s="1"/>
  <c r="AP174" i="2"/>
  <c r="AQ174" i="2" s="1"/>
  <c r="AR174" i="2" s="1"/>
  <c r="AP178" i="2"/>
  <c r="AQ178" i="2" s="1"/>
  <c r="AR178" i="2" s="1"/>
  <c r="AP8" i="2"/>
  <c r="AQ8" i="2" s="1"/>
  <c r="AR8" i="2" s="1"/>
  <c r="AP229" i="2"/>
  <c r="AQ229" i="2" s="1"/>
  <c r="AR229" i="2" s="1"/>
  <c r="AP227" i="2"/>
  <c r="AQ227" i="2" s="1"/>
  <c r="AR227" i="2" s="1"/>
  <c r="AP23" i="2"/>
  <c r="AQ23" i="2" s="1"/>
  <c r="AR23" i="2" s="1"/>
  <c r="AP151" i="2"/>
  <c r="AQ151" i="2" s="1"/>
  <c r="AR151" i="2" s="1"/>
  <c r="AP208" i="2"/>
  <c r="AQ208" i="2" s="1"/>
  <c r="AR208" i="2" s="1"/>
  <c r="AP209" i="2"/>
  <c r="AQ209" i="2" s="1"/>
  <c r="AR209" i="2" s="1"/>
  <c r="AP234" i="2"/>
  <c r="AQ234" i="2" s="1"/>
  <c r="AR234" i="2" s="1"/>
  <c r="AP220" i="2"/>
  <c r="AQ220" i="2" s="1"/>
  <c r="AR220" i="2" s="1"/>
  <c r="AP17" i="2"/>
  <c r="AQ17" i="2" s="1"/>
  <c r="AR17" i="2" s="1"/>
  <c r="AP16" i="2"/>
  <c r="AQ16" i="2" s="1"/>
  <c r="AR16" i="2" s="1"/>
  <c r="AP37" i="2"/>
  <c r="AQ37" i="2" s="1"/>
  <c r="AR37" i="2" s="1"/>
  <c r="AP193" i="2"/>
  <c r="AQ193" i="2" s="1"/>
  <c r="AR193" i="2" s="1"/>
  <c r="AP225" i="2"/>
  <c r="AQ225" i="2" s="1"/>
  <c r="AR225" i="2" s="1"/>
  <c r="AP176" i="2"/>
  <c r="AQ176" i="2" s="1"/>
  <c r="AR176" i="2" s="1"/>
  <c r="AP88" i="2"/>
  <c r="AQ88" i="2" s="1"/>
  <c r="AR88" i="2" s="1"/>
  <c r="AP64" i="2"/>
  <c r="AQ64" i="2" s="1"/>
  <c r="AR64" i="2" s="1"/>
  <c r="AP36" i="2"/>
  <c r="AQ36" i="2" s="1"/>
  <c r="AR36" i="2" s="1"/>
  <c r="AP75" i="2"/>
  <c r="AQ75" i="2" s="1"/>
  <c r="AR75" i="2" s="1"/>
  <c r="AP41" i="2"/>
  <c r="AQ41" i="2" s="1"/>
  <c r="AR41" i="2" s="1"/>
  <c r="AP42" i="2"/>
  <c r="AQ42" i="2" s="1"/>
  <c r="AR42" i="2" s="1"/>
  <c r="AP43" i="2"/>
  <c r="AQ43" i="2" s="1"/>
  <c r="AR43" i="2" s="1"/>
  <c r="AP38" i="2"/>
  <c r="AQ38" i="2" s="1"/>
  <c r="AR38" i="2" s="1"/>
  <c r="AP33" i="2"/>
  <c r="AQ33" i="2" s="1"/>
  <c r="AR33" i="2" s="1"/>
  <c r="AP32" i="2"/>
  <c r="AQ32" i="2" s="1"/>
  <c r="AR32" i="2" s="1"/>
  <c r="AP31" i="2"/>
  <c r="AQ31" i="2" s="1"/>
  <c r="AR31" i="2" s="1"/>
  <c r="AP76" i="2"/>
  <c r="AQ76" i="2" s="1"/>
  <c r="AR76" i="2" s="1"/>
  <c r="AP79" i="2"/>
  <c r="AQ79" i="2" s="1"/>
  <c r="AR79" i="2" s="1"/>
  <c r="AP138" i="2"/>
  <c r="AQ138" i="2" s="1"/>
  <c r="AR138" i="2" s="1"/>
  <c r="AP139" i="2"/>
  <c r="AQ139" i="2" s="1"/>
  <c r="AR139" i="2" s="1"/>
  <c r="AP140" i="2"/>
  <c r="AQ140" i="2" s="1"/>
  <c r="AR140" i="2" s="1"/>
  <c r="AP141" i="2"/>
  <c r="AQ141" i="2" s="1"/>
  <c r="AR141" i="2" s="1"/>
  <c r="AP142" i="2"/>
  <c r="AQ142" i="2" s="1"/>
  <c r="AR142" i="2" s="1"/>
  <c r="AP145" i="2"/>
  <c r="AQ145" i="2" s="1"/>
  <c r="AR145" i="2" s="1"/>
  <c r="AP143" i="2"/>
  <c r="AQ143" i="2" s="1"/>
  <c r="AR143" i="2" s="1"/>
  <c r="AP144" i="2"/>
  <c r="AQ144" i="2" s="1"/>
  <c r="AR144" i="2" s="1"/>
  <c r="AP78" i="2"/>
  <c r="AQ78" i="2" s="1"/>
  <c r="AR78" i="2" s="1"/>
  <c r="AP77" i="2"/>
  <c r="AQ77" i="2" s="1"/>
  <c r="AR77" i="2" s="1"/>
  <c r="AP152" i="2"/>
  <c r="AQ152" i="2" s="1"/>
  <c r="AR152" i="2" s="1"/>
  <c r="AP153" i="2"/>
  <c r="AQ153" i="2" s="1"/>
  <c r="AR153" i="2" s="1"/>
  <c r="AP85" i="2"/>
  <c r="AQ85" i="2" s="1"/>
  <c r="AR85" i="2" s="1"/>
  <c r="AP84" i="2"/>
  <c r="AQ84" i="2" s="1"/>
  <c r="AR84" i="2" s="1"/>
  <c r="AP217" i="2"/>
  <c r="AQ217" i="2" s="1"/>
  <c r="AR217" i="2" s="1"/>
  <c r="AP137" i="2"/>
  <c r="AQ137" i="2" s="1"/>
  <c r="AR137" i="2" s="1"/>
  <c r="AP135" i="2"/>
  <c r="AQ135" i="2" s="1"/>
  <c r="AR135" i="2" s="1"/>
  <c r="AP136" i="2"/>
  <c r="AQ136" i="2" s="1"/>
  <c r="AR136" i="2" s="1"/>
  <c r="AP93" i="2"/>
  <c r="AQ93" i="2" s="1"/>
  <c r="AR93" i="2" s="1"/>
  <c r="AP9" i="2"/>
  <c r="AQ9" i="2" s="1"/>
  <c r="AR9" i="2" s="1"/>
  <c r="AP231" i="2"/>
  <c r="AQ231" i="2" s="1"/>
  <c r="AR231" i="2" s="1"/>
  <c r="AP230" i="2"/>
  <c r="AQ230" i="2" s="1"/>
  <c r="AR230" i="2" s="1"/>
  <c r="AP169" i="2"/>
  <c r="AQ169" i="2" s="1"/>
  <c r="AR169" i="2" s="1"/>
  <c r="AP171" i="2"/>
  <c r="AQ171" i="2" s="1"/>
  <c r="AR171" i="2" s="1"/>
  <c r="AP172" i="2"/>
  <c r="AQ172" i="2" s="1"/>
  <c r="AR172" i="2" s="1"/>
  <c r="AP65" i="2"/>
  <c r="AQ65" i="2" s="1"/>
  <c r="AR65" i="2" s="1"/>
  <c r="AP82" i="2"/>
  <c r="AQ82" i="2" s="1"/>
  <c r="AR82" i="2" s="1"/>
  <c r="AP215" i="2"/>
  <c r="AQ215" i="2" s="1"/>
  <c r="AR215" i="2" s="1"/>
  <c r="AP86" i="2"/>
  <c r="AQ86" i="2" s="1"/>
  <c r="AR86" i="2" s="1"/>
  <c r="AP213" i="2"/>
  <c r="AQ213" i="2" s="1"/>
  <c r="AR213" i="2" s="1"/>
  <c r="AP212" i="2"/>
  <c r="AQ212" i="2" s="1"/>
  <c r="AR212" i="2" s="1"/>
  <c r="AP128" i="2"/>
  <c r="AQ128" i="2" s="1"/>
  <c r="AR128" i="2" s="1"/>
  <c r="AP218" i="2"/>
  <c r="AQ218" i="2" s="1"/>
  <c r="AR218" i="2" s="1"/>
  <c r="AP130" i="2"/>
  <c r="AQ130" i="2" s="1"/>
  <c r="AR130" i="2" s="1"/>
  <c r="AP96" i="2"/>
  <c r="AQ96" i="2" s="1"/>
  <c r="AR96" i="2" s="1"/>
  <c r="AP183" i="2"/>
  <c r="AQ183" i="2" s="1"/>
  <c r="AR183" i="2" s="1"/>
  <c r="AP185" i="2"/>
  <c r="AQ185" i="2" s="1"/>
  <c r="AR185" i="2" s="1"/>
  <c r="AP184" i="2"/>
  <c r="AQ184" i="2" s="1"/>
  <c r="AR184" i="2" s="1"/>
  <c r="AP131" i="2"/>
  <c r="AQ131" i="2" s="1"/>
  <c r="AR131" i="2" s="1"/>
  <c r="AP69" i="2"/>
  <c r="AQ69" i="2" s="1"/>
  <c r="AR69" i="2" s="1"/>
  <c r="AP70" i="2"/>
  <c r="AQ70" i="2" s="1"/>
  <c r="AR70" i="2" s="1"/>
  <c r="AP55" i="2"/>
  <c r="AQ55" i="2" s="1"/>
  <c r="AR55" i="2" s="1"/>
  <c r="AP50" i="2"/>
  <c r="AQ50" i="2" s="1"/>
  <c r="AR50" i="2" s="1"/>
  <c r="AP53" i="2"/>
  <c r="AQ53" i="2" s="1"/>
  <c r="AR53" i="2" s="1"/>
  <c r="AP54" i="2"/>
  <c r="AQ54" i="2" s="1"/>
  <c r="AR54" i="2" s="1"/>
  <c r="AP51" i="2"/>
  <c r="AQ51" i="2" s="1"/>
  <c r="AR51" i="2" s="1"/>
  <c r="AP52" i="2"/>
  <c r="AQ52" i="2" s="1"/>
  <c r="AR52" i="2" s="1"/>
  <c r="AP181" i="2"/>
  <c r="AQ181" i="2" s="1"/>
  <c r="AR181" i="2" s="1"/>
  <c r="AP34" i="2"/>
  <c r="AQ34" i="2" s="1"/>
  <c r="AR34" i="2" s="1"/>
  <c r="AP180" i="2"/>
  <c r="AQ180" i="2" s="1"/>
  <c r="AR180" i="2" s="1"/>
  <c r="AP159" i="2"/>
  <c r="AQ159" i="2" s="1"/>
  <c r="AR159" i="2" s="1"/>
  <c r="AP157" i="2"/>
  <c r="AQ157" i="2" s="1"/>
  <c r="AR157" i="2" s="1"/>
  <c r="AP156" i="2"/>
  <c r="AQ156" i="2" s="1"/>
  <c r="AR156" i="2" s="1"/>
  <c r="AP158" i="2"/>
  <c r="AQ158" i="2" s="1"/>
  <c r="AR158" i="2" s="1"/>
  <c r="AP66" i="2"/>
  <c r="AQ66" i="2" s="1"/>
  <c r="AR66" i="2" s="1"/>
  <c r="AP63" i="2"/>
  <c r="AQ63" i="2" s="1"/>
  <c r="AR63" i="2" s="1"/>
  <c r="AP47" i="2"/>
  <c r="AQ47" i="2" s="1"/>
  <c r="AR47" i="2" s="1"/>
  <c r="AP204" i="2"/>
  <c r="AQ204" i="2" s="1"/>
  <c r="AR204" i="2" s="1"/>
  <c r="AP205" i="2"/>
  <c r="AQ205" i="2" s="1"/>
  <c r="AR205" i="2" s="1"/>
  <c r="AP206" i="2"/>
  <c r="AQ206" i="2" s="1"/>
  <c r="AR206" i="2" s="1"/>
  <c r="AP201" i="2"/>
  <c r="AQ201" i="2" s="1"/>
  <c r="AR201" i="2" s="1"/>
  <c r="AP202" i="2"/>
  <c r="AQ202" i="2" s="1"/>
  <c r="AR202" i="2" s="1"/>
  <c r="AP125" i="2"/>
  <c r="AQ125" i="2" s="1"/>
  <c r="AR125" i="2" s="1"/>
  <c r="AP94" i="2"/>
  <c r="AQ94" i="2" s="1"/>
  <c r="AR94" i="2" s="1"/>
  <c r="AP95" i="2"/>
  <c r="AQ95" i="2" s="1"/>
  <c r="AR95" i="2" s="1"/>
  <c r="AP177" i="2"/>
  <c r="AQ177" i="2" s="1"/>
  <c r="AR177" i="2" s="1"/>
  <c r="AP104" i="2"/>
  <c r="AQ104" i="2" s="1"/>
  <c r="AR104" i="2" s="1"/>
  <c r="AP103" i="2"/>
  <c r="AQ103" i="2" s="1"/>
  <c r="AR103" i="2" s="1"/>
  <c r="AP28" i="2"/>
  <c r="AQ28" i="2" s="1"/>
  <c r="AR28" i="2" s="1"/>
  <c r="AP11" i="2"/>
  <c r="AQ11" i="2" s="1"/>
  <c r="AR11" i="2" s="1"/>
  <c r="AP19" i="2"/>
  <c r="AQ19" i="2" s="1"/>
  <c r="AR19" i="2" s="1"/>
  <c r="AP25" i="2"/>
  <c r="AQ25" i="2" s="1"/>
  <c r="AR25" i="2" s="1"/>
  <c r="AP46" i="2"/>
  <c r="AQ46" i="2" s="1"/>
  <c r="AR46" i="2" s="1"/>
  <c r="AP74" i="2"/>
  <c r="AQ74" i="2" s="1"/>
  <c r="AR74" i="2" s="1"/>
  <c r="AP90" i="2"/>
  <c r="AQ90" i="2" s="1"/>
  <c r="AR90" i="2" s="1"/>
  <c r="AP91" i="2"/>
  <c r="AQ91" i="2" s="1"/>
  <c r="AR91" i="2" s="1"/>
  <c r="AP92" i="2"/>
  <c r="AQ92" i="2" s="1"/>
  <c r="AR92" i="2" s="1"/>
  <c r="AP89" i="2"/>
  <c r="AQ89" i="2" s="1"/>
  <c r="AR89" i="2" s="1"/>
  <c r="AP120" i="2"/>
  <c r="AQ120" i="2" s="1"/>
  <c r="AR120" i="2" s="1"/>
  <c r="AP119" i="2"/>
  <c r="AQ119" i="2" s="1"/>
  <c r="AR119" i="2" s="1"/>
  <c r="AP126" i="2"/>
  <c r="AQ126" i="2" s="1"/>
  <c r="AR126" i="2" s="1"/>
  <c r="AP132" i="2"/>
  <c r="AQ132" i="2" s="1"/>
  <c r="AR132" i="2" s="1"/>
  <c r="AP133" i="2"/>
  <c r="AQ133" i="2" s="1"/>
  <c r="AR133" i="2" s="1"/>
  <c r="AP134" i="2"/>
  <c r="AQ134" i="2" s="1"/>
  <c r="AR134" i="2" s="1"/>
  <c r="AP187" i="2"/>
  <c r="AQ187" i="2" s="1"/>
  <c r="AR187" i="2" s="1"/>
  <c r="AP199" i="2"/>
  <c r="AQ199" i="2" s="1"/>
  <c r="AR199" i="2" s="1"/>
  <c r="AP207" i="2"/>
  <c r="AQ207" i="2" s="1"/>
  <c r="AR207" i="2" s="1"/>
  <c r="AP200" i="2"/>
  <c r="AQ200" i="2" s="1"/>
  <c r="AR200" i="2" s="1"/>
  <c r="AP223" i="2"/>
  <c r="AQ223" i="2" s="1"/>
  <c r="AR223" i="2" s="1"/>
  <c r="AP121" i="2"/>
  <c r="AQ121" i="2" s="1"/>
  <c r="AR121" i="2" s="1"/>
  <c r="AP122" i="2"/>
  <c r="AQ122" i="2" s="1"/>
  <c r="AR122" i="2" s="1"/>
  <c r="AP35" i="2"/>
  <c r="AQ35" i="2" s="1"/>
  <c r="AR35" i="2" s="1"/>
  <c r="AP48" i="2"/>
  <c r="AQ48" i="2" s="1"/>
  <c r="AR48" i="2" s="1"/>
  <c r="AP107" i="2"/>
  <c r="AQ107" i="2" s="1"/>
  <c r="AR107" i="2" s="1"/>
  <c r="AP108" i="2"/>
  <c r="AQ108" i="2" s="1"/>
  <c r="AR108" i="2" s="1"/>
  <c r="AP109" i="2"/>
  <c r="AQ109" i="2" s="1"/>
  <c r="AR109" i="2" s="1"/>
  <c r="AP110" i="2"/>
  <c r="AQ110" i="2" s="1"/>
  <c r="AR110" i="2" s="1"/>
  <c r="AP111" i="2"/>
  <c r="AQ111" i="2" s="1"/>
  <c r="AR111" i="2" s="1"/>
  <c r="AP112" i="2"/>
  <c r="AQ112" i="2" s="1"/>
  <c r="AR112" i="2" s="1"/>
  <c r="AP113" i="2"/>
  <c r="AQ113" i="2" s="1"/>
  <c r="AR113" i="2" s="1"/>
  <c r="AP81" i="2"/>
  <c r="AQ81" i="2" s="1"/>
  <c r="AR81" i="2" s="1"/>
  <c r="AP10" i="2"/>
  <c r="AQ10" i="2" s="1"/>
  <c r="AR10" i="2" s="1"/>
  <c r="AP5" i="2"/>
  <c r="AQ5" i="2" s="1"/>
  <c r="AR5" i="2" s="1"/>
  <c r="AP190" i="2"/>
  <c r="AQ190" i="2" s="1"/>
  <c r="AR190" i="2" s="1"/>
  <c r="AP192" i="2"/>
  <c r="AQ192" i="2" s="1"/>
  <c r="AR192" i="2" s="1"/>
  <c r="AP189" i="2"/>
  <c r="AQ189" i="2" s="1"/>
  <c r="AR189" i="2" s="1"/>
  <c r="AP188" i="2"/>
  <c r="AQ188" i="2" s="1"/>
  <c r="AR188" i="2" s="1"/>
  <c r="AP191" i="2"/>
  <c r="AQ191" i="2" s="1"/>
  <c r="AR191" i="2" s="1"/>
  <c r="AP114" i="2"/>
  <c r="AQ114" i="2" s="1"/>
  <c r="AR114" i="2" s="1"/>
  <c r="AP87" i="2"/>
  <c r="AQ87" i="2" s="1"/>
  <c r="AR87" i="2" s="1"/>
  <c r="AP45" i="2"/>
  <c r="AQ45" i="2" s="1"/>
  <c r="AR45" i="2" s="1"/>
  <c r="AP146" i="2"/>
  <c r="AQ146" i="2" s="1"/>
  <c r="AR146" i="2" s="1"/>
  <c r="AP147" i="2"/>
  <c r="AQ147" i="2" s="1"/>
  <c r="AR147" i="2" s="1"/>
  <c r="AP226" i="2"/>
  <c r="AQ226" i="2" s="1"/>
  <c r="AR226" i="2" s="1"/>
  <c r="AP72" i="2"/>
  <c r="AQ72" i="2" s="1"/>
  <c r="AR72" i="2" s="1"/>
  <c r="AP97" i="2"/>
  <c r="AQ97" i="2" s="1"/>
  <c r="AR97" i="2" s="1"/>
  <c r="AP98" i="2"/>
  <c r="AQ98" i="2" s="1"/>
  <c r="AR98" i="2" s="1"/>
  <c r="AP101" i="2"/>
  <c r="AQ101" i="2" s="1"/>
  <c r="AR101" i="2" s="1"/>
  <c r="AP123" i="2"/>
  <c r="AQ123" i="2" s="1"/>
  <c r="AR123" i="2" s="1"/>
  <c r="AP124" i="2"/>
  <c r="AQ124" i="2" s="1"/>
  <c r="AR124" i="2" s="1"/>
  <c r="AP203" i="2"/>
  <c r="AQ203" i="2" s="1"/>
  <c r="AR203" i="2" s="1"/>
  <c r="K124" i="2"/>
  <c r="K123" i="2"/>
  <c r="K101" i="2"/>
  <c r="K98" i="2"/>
  <c r="K97" i="2"/>
  <c r="K72" i="2"/>
  <c r="K147" i="2"/>
  <c r="K146" i="2"/>
  <c r="K200" i="2"/>
  <c r="K207" i="2"/>
  <c r="K199" i="2"/>
  <c r="K187" i="2"/>
  <c r="K134" i="2"/>
  <c r="K133" i="2"/>
  <c r="K132" i="2"/>
  <c r="K126" i="2"/>
  <c r="K119" i="2"/>
  <c r="K120" i="2"/>
  <c r="K249" i="2"/>
  <c r="K89" i="2"/>
  <c r="K92" i="2"/>
  <c r="K91" i="2"/>
  <c r="K90" i="2"/>
  <c r="K74" i="2"/>
  <c r="K46" i="2"/>
  <c r="K25" i="2"/>
  <c r="K19" i="2"/>
  <c r="K11" i="2"/>
  <c r="K218" i="2"/>
  <c r="K128" i="2"/>
  <c r="K212" i="2"/>
  <c r="K213" i="2"/>
  <c r="K243" i="2"/>
  <c r="K241" i="2"/>
  <c r="K86" i="2"/>
  <c r="K215" i="2"/>
  <c r="K82" i="2"/>
  <c r="K65" i="2"/>
  <c r="K261" i="2"/>
  <c r="K172" i="2"/>
  <c r="K171" i="2"/>
  <c r="K169" i="2"/>
  <c r="K230" i="2"/>
  <c r="K231" i="2"/>
  <c r="K9" i="2"/>
  <c r="K228" i="2"/>
  <c r="K227" i="2"/>
  <c r="K229" i="2"/>
  <c r="K178" i="2"/>
  <c r="K174" i="2"/>
  <c r="K173" i="2"/>
  <c r="K170" i="2"/>
  <c r="K168" i="2"/>
  <c r="K175" i="2"/>
  <c r="K117" i="2"/>
  <c r="K129" i="2"/>
  <c r="K18" i="2"/>
  <c r="K27" i="2"/>
  <c r="K24" i="2"/>
  <c r="K29" i="2"/>
  <c r="K26" i="2"/>
  <c r="K264" i="2"/>
  <c r="K194" i="2"/>
  <c r="K115" i="2"/>
  <c r="K62" i="2"/>
  <c r="K182" i="2"/>
  <c r="K160" i="2"/>
  <c r="K232" i="2"/>
  <c r="K233" i="2"/>
  <c r="K127" i="2"/>
  <c r="K15" i="2"/>
  <c r="K179" i="2"/>
  <c r="K56" i="2"/>
  <c r="K59" i="2"/>
  <c r="K211" i="2"/>
  <c r="K222" i="2"/>
  <c r="K186" i="2"/>
  <c r="K214" i="2"/>
  <c r="K118" i="2"/>
  <c r="K116" i="2"/>
  <c r="K30" i="2"/>
  <c r="K73" i="2"/>
  <c r="K44" i="2"/>
  <c r="K195" i="2"/>
  <c r="K71" i="2"/>
  <c r="K57" i="2"/>
  <c r="K221" i="2"/>
  <c r="K99" i="2"/>
  <c r="K58" i="2"/>
  <c r="K219" i="2"/>
  <c r="K80" i="2"/>
  <c r="K12" i="2"/>
  <c r="K7" i="2"/>
  <c r="K106" i="2"/>
  <c r="K6" i="2"/>
  <c r="K259" i="2"/>
  <c r="K49" i="2"/>
  <c r="K2" i="2"/>
  <c r="K164" i="2"/>
  <c r="K13" i="2"/>
  <c r="K161" i="2"/>
  <c r="K3" i="2"/>
  <c r="K162" i="2"/>
  <c r="K4" i="2"/>
  <c r="K163" i="2"/>
  <c r="K68" i="2"/>
  <c r="K67" i="2"/>
  <c r="K237" i="2"/>
  <c r="K100" i="2"/>
  <c r="K203" i="2"/>
  <c r="P2" i="1"/>
  <c r="M264" i="1"/>
  <c r="M263" i="1"/>
  <c r="M262" i="1"/>
  <c r="M261" i="1"/>
  <c r="M259" i="1"/>
  <c r="M258" i="1"/>
  <c r="M257" i="1"/>
  <c r="M255" i="1"/>
  <c r="M254" i="1"/>
  <c r="M228" i="1"/>
  <c r="M227" i="1"/>
  <c r="M226" i="1"/>
  <c r="M225" i="1"/>
  <c r="M224" i="1"/>
  <c r="M223" i="1"/>
  <c r="M222" i="1"/>
  <c r="M221" i="1"/>
  <c r="M220" i="1"/>
  <c r="M219" i="1"/>
  <c r="M218" i="1"/>
  <c r="M217" i="1"/>
  <c r="M216" i="1"/>
  <c r="M215" i="1"/>
  <c r="M214" i="1"/>
  <c r="M213" i="1"/>
  <c r="M212" i="1"/>
  <c r="M211" i="1"/>
  <c r="M210" i="1"/>
  <c r="M209" i="1"/>
  <c r="M170" i="1"/>
  <c r="M169" i="1"/>
  <c r="M168" i="1"/>
  <c r="M167" i="1"/>
  <c r="M166" i="1"/>
  <c r="M165" i="1"/>
  <c r="M164" i="1"/>
  <c r="M163" i="1"/>
  <c r="M162" i="1"/>
  <c r="M161" i="1"/>
  <c r="M160" i="1"/>
  <c r="M159" i="1"/>
  <c r="M158" i="1"/>
  <c r="M157" i="1"/>
  <c r="M156" i="1"/>
  <c r="M155" i="1"/>
  <c r="M154" i="1"/>
  <c r="M153" i="1"/>
  <c r="M104" i="1"/>
  <c r="M103" i="1"/>
  <c r="M102"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31" i="1"/>
  <c r="M30" i="1"/>
  <c r="M29" i="1"/>
  <c r="M28" i="1"/>
  <c r="M27" i="1"/>
  <c r="M26" i="1"/>
  <c r="M25" i="1"/>
  <c r="M24" i="1"/>
  <c r="M23" i="1"/>
  <c r="M22" i="1"/>
  <c r="M21" i="1"/>
  <c r="M19" i="1"/>
  <c r="M18" i="1"/>
  <c r="M6" i="1"/>
  <c r="M5" i="1"/>
  <c r="M4" i="1"/>
  <c r="M3" i="1"/>
  <c r="M2" i="1"/>
  <c r="AR265" i="2" l="1"/>
</calcChain>
</file>

<file path=xl/sharedStrings.xml><?xml version="1.0" encoding="utf-8"?>
<sst xmlns="http://schemas.openxmlformats.org/spreadsheetml/2006/main" count="3955" uniqueCount="822">
  <si>
    <t>Beneficiar</t>
  </si>
  <si>
    <t>Nr. Lot</t>
  </si>
  <si>
    <t>Denumire Lot</t>
  </si>
  <si>
    <t>Denumire Lot
NEW</t>
  </si>
  <si>
    <t>Denumirea poziției</t>
  </si>
  <si>
    <t xml:space="preserve">Specificarea tehnică deplină </t>
  </si>
  <si>
    <t>Specificarea tehnică deplină 
NEW</t>
  </si>
  <si>
    <t>Unitatea de măsură</t>
  </si>
  <si>
    <t>Cantitatea Necesară</t>
  </si>
  <si>
    <t>Unitatea de măsură
NEW</t>
  </si>
  <si>
    <t>Cantitatea Necesară
NEW</t>
  </si>
  <si>
    <t>Preț estimat cu TVA PENTRU 2026</t>
  </si>
  <si>
    <t>Suma Estimată cu TVA Pentru 2026</t>
  </si>
  <si>
    <t>NOTE</t>
  </si>
  <si>
    <t>NOTE
Ivan</t>
  </si>
  <si>
    <t>Transmis</t>
  </si>
  <si>
    <t>Centrul Național de Transfuzie a Sângelui</t>
  </si>
  <si>
    <t>Set consumabile pentru realizarea plasmaferezei</t>
  </si>
  <si>
    <t xml:space="preserve">Certificări: 
- Declarație de conformitate CE/SM și/sau Certificat de conformitate CE/SM;
- prezenţa instrucţiunii de utilizare a produsului, în limba de stat, în care se confirmă cerințele produsului;
- confirmarea prezentării certificatului de calitate pentru fiecare lot la fiecare tranşă;
- confirmarea precum la livrare termenul de valabilitate a produsului va fi nu mai mic de 80% din termenul total de valabilitate a acestuia;
- prezentarea a 5 unităţi pentru testarea tehnică, acestea fiind însoţite de certificate de calitate. 
- Destinaţie: pentru recoltarea componentelor sanguine de la donator.
Proprietăţile componentelor obligatorii a setului:
Sistema: 
a)materiale de bază ale plasticului – polivinilhlorid  și  dietilftalat;
b)de uz unic;
c)compatibilă cu echipamentul NIGALE Digipla 80
Sistemul  de recoltare a probei sanguine de laborator:
a)  pentru eprubetă vacum;
b) dotată cu holder şi ac tip 16 G, cu fisura laterală:
c)integrat în sistemul închis şi steril al tubulaturii de recoltare; 
d) asigurat cu clamă;
e)amplasat pe tubulatura de recoltare pînă la ramificarea racordului Y.
Sistemul de capisonare a acului post-donare cu utilizare ulterioară inofensivă – obligatoriu prezent.
Bol-centrifugă pentru colectarea componentelor sanguine compatibilă cu echipamentul NIGALE Digipla 80
Soluţie anticoagulantă volum de 200 ml:
a) conţinut de citrat de natriu  4%;
b) steril, apirogen;
c) în recipient de plastic,  asigurat cu element ce va permite fixarea acestuia  în suport.
Containerul pentru colectarea componentelor sanguine asigurat cu:
a)  2 (două) unități fiecare cu capacitatea de recolatare în volum de 1 (unu) litru ;
b) două orificii, în partea superioara, pentru fixarea acestuia în presele de separare a dispozitivului de separare în componente sanguine;
a) două racorduri, în partea superioară pentru conexiunea la sistemul de transfuzie
b) fantă pe partea inferioară, pentru suspendarea containerului în suportul de transfuzie.
Etichetele de fond şi marcajul  - inviolabile şi rezistente la T minus 80°C şi umiditate sporită.
Tubulaturile de conexiune la soluţia FF şi soluţia anticoagulantă fiind asigurate cu clame.
Tubulatura de prelevare a componentelor sanguine asigurat:
b)  cu  prezența codului numeric de  identificare a acestora;
c) asigurat cu clamă 
Eticheta de fond şi marcajul containerului pentru colectarea plasmei:
a) inviolabilă,  rezistentă la T minus 80°C şi umiditate sporită;
b) cu inscripţiile obligatorii despre tipul, volumul containerului, lot/serie, termenii de valabilitate, producătorul şi notificarea “STERIL”.
Forma de ambalare: toate componentele setului să fie integrate într-un sistem închis, în ambalaj securizat, marcat şi etichetat de producător cu menţionarea datelor de identitate (denumire, număr lot/serie, termeni de valabilitate, condiţii de păstrare) şi prezenţa notificărilor „DE UZ UNIC”, „STERIL”. Datele de identitate expuse pe ambalaj vor coincide în mod obligator cu cele de pe fiecare set sau componentă a acestuia.
Prezența mostrei: 5 unități
</t>
  </si>
  <si>
    <t xml:space="preserve">1. Cerințe generale
Toate componentele trebuie să fie sterile, de unică folosință, conforme cu ISO 13485, ISO 10993
Toate componentele, inclusiv containerele, tubulaturile și etichetele, trebuie să fie rezistente la temperaturi de până la -40°C, umiditate relativă de până la 95% și cicluri repetate de congelare/decongelare, păstrând integritatea și funcționalitatea.
Instrucțiunea de utilizare în limba de stat, confirmând conformitatea cu cerințele tehnice și de siguranță.
Termenul de valabilitate la livrare: minimum 80% din termenul total, indicat pe ambalaj și confirmat prin certificat de lot emis de un organism acreditat.
Furnizorul va furniza 5 unități gratuite pentru testarea funcțională și de compatibilitate (inclusiv integritatea sistemului închis și funcționarea cu NIGALE Digipla 80), însoțite de certificate conform ISO 13485.
Destinație: Recoltarea componentelor sanguine, compatibil cu echipamentul NIGALE Digipla 80.
2. Proprietățile componentelor
2.1. Sistemul de recoltare
Materiale: Plastic biocompatibil, fără ftalați, testat pentru citotoxicitate și hemocompatibilitate conform ISO 10993-4 și ISO 10993-5.
Compatibil cu NIGALE Digipla 80.
2.2. Sistemul de recoltare a probei sanguine
Pentru eprubete vacuum, cu holder și ac 16 G cu fantă laterală, integrat în sistem închis și steril.
Prevăzut cu clamă, poziționată înainte de racordul în Y.
2.3. Sistem de protecție a acului
Mecanism de siguranță (ex. retragere automată sau capac), activabil cu o singură mână, conform ISO 23908, pentru eliminarea riscului de înțepare.
2.4. Recipient pentru centrifugare
Compatibil cu NIGALE Digipla 80, din materiale biocompatibile.
2.5. Soluție anticoagulantă
Volum: 200 ml (±5%), tip CPD sau CPD-A, cu citrat de sodiu 4% (±0,2%), sterilă și apirogenă conform Ph. Eur.
Recipient din plastic biocompatibil, cu element de fixare.
2.6. Container pentru colectarea componentelor
Capacitate: 2 unități de 450–500 ml (standard pentru donarea de sânge) sau 1 litru (pentru proceduri specifice, ex. plasmaferez).
Două orificii și racorduri superioare pentru separare și transfuzie; fantă inferioară pentru suspendare.
2.7. Tubulaturi de conexiune
Tubulaturile pentru soluția FF și soluția anticoagulantă: prevăzute cu clame.
Tubulatura de prelevare: marcată cu cod unic (ex. cod de bare sau număr de serie), prevăzută cu clamă.
3. Etichetare și ambalare
Etichete rezistente la agenți de curățare medicali, cu informații despre tip, volum, lot/serie, termen de valabilitate, producător și mențiunea „STERIL”.
Ambalaj securizat, în sistem închis, cu marcaje „DE UZ UNIC” și „STERIL”, conforme cu datele de pe componente.
Sterilizarea: metodă validată (ex. oxid de etilenă sau radiații gamma, conform ISO 11137), confirmată prin indicatori de sterilizare pe ambalaj.
4. Observații suplimentare
</t>
  </si>
  <si>
    <t>Bucată</t>
  </si>
  <si>
    <t xml:space="preserve"> CAPDM-C (consumabile accesorii piese dispozitive medicale)</t>
  </si>
  <si>
    <t>IMSP CENTRUL DE SANATATE CALARASI</t>
  </si>
  <si>
    <t>Hîrtie termosensibilă 58 mm, Dopplex Abiliry</t>
  </si>
  <si>
    <t>Lățimea 58 mm Diametru rolei 40 mm compatibil cu Dopplex Ability</t>
  </si>
  <si>
    <t>Lățimea rolei 58 mm 
Diametru rolei 40 mm 
compatibil cu  Dopplex Ability</t>
  </si>
  <si>
    <t xml:space="preserve"> CAPDM-C</t>
  </si>
  <si>
    <t>IMSP CENTRUL DE SANATATE DROCHIA A MANZIUC</t>
  </si>
  <si>
    <t>Teste pentru GLICEMIE + aparat</t>
  </si>
  <si>
    <t>Teste și lancete pentru
măsurarea glicemiei, ACCU - CHEK, BIONIME</t>
  </si>
  <si>
    <t>aparat ACCU - CHEK , sau BIONIME</t>
  </si>
  <si>
    <t>1000 Teste și 1000 lancete pentru
măsurarea glicemiei
compatibile cu glucometrul ACCU - CHEK , sau BIONIME
sau
1000 Teste și 1000 lancete pentru
măsurarea glicemiei compatibile cu
alte tipuri de glucometre.
Operatorul economic va furniza
beneficiarului cel puțin 11
glucometre, cu titlu gratuit.</t>
  </si>
  <si>
    <t>buc</t>
  </si>
  <si>
    <t>IMSP CENTRUL DE SANATATE SOROCA</t>
  </si>
  <si>
    <t>Film radiologic cu baza albastra 20X25cm(8x10inch)</t>
  </si>
  <si>
    <t>Film radiologic cu baza albastra 20X25cm(8x10inch),compatibil cu imprimamta AGFA,DRYSTAR 5302 pentru aparatul TMS-320NR.100</t>
  </si>
  <si>
    <t xml:space="preserve"> CAPDM-C lot 007438</t>
  </si>
  <si>
    <t>Film radiologic cu baza albastra 35X43cm(14x17inch)</t>
  </si>
  <si>
    <t>Film radiologic cu baza albastra 35X43cm(14x17inch),compatibil cu  imprimamta AGFA DRYSTAR 5302, pentru aparatul TMS-320,NR 100</t>
  </si>
  <si>
    <t xml:space="preserve"> CAPDM 007436</t>
  </si>
  <si>
    <t>IMSP CENTRUL MEDICILOR DE FAMILIE FLORESTI</t>
  </si>
  <si>
    <t>cutii</t>
  </si>
  <si>
    <t>Test p/u glucometru ACCU-CHEK Active N50</t>
  </si>
  <si>
    <t>Teste și lancete pentru
măsurarea glicemiei, ACCU - CHEK Active</t>
  </si>
  <si>
    <t>Compozitia si forma de prezentare:
Cutie N50.
Actiunea farmacologica:
Caracteristici noi in controlul diabetului.
Stripurile Accu-Chek  pot fi utilizate pana
 la data indicata  pe ambalaj. 
Daca ati utilizat testul intarziat, aparatul
 va avertiza si va marca acest rezultat cu un simbol special.
INDICATII
Monitorizarea glicemiei in tratamentul diabetului zaharat.</t>
  </si>
  <si>
    <t>1000 Teste și 1000 lancete pentru
măsurarea glicemiei
compatibile cu glucometrul ACCU - CHEK Active
sau
1000 Teste și 1000 lancete pentru
măsurarea glicemiei compatibile cu
alte tipuri de glucometre.
Operatorul economic va furniza
beneficiarului cel puțin 11
glucometre, cu titlu gratuit.</t>
  </si>
  <si>
    <t>Turbină de unică folosință pentru Spirometrie MIR (911080)</t>
  </si>
  <si>
    <t>Muștuc cu turbina pentru spirometrie compatibil cu  spirometre MIR</t>
  </si>
  <si>
    <t>Turbină de o singură folosință cu muștuc de hîrtie compatibilă spirometru.                                       Spirolab tip MIR (911080)</t>
  </si>
  <si>
    <t>1.Muștuc  cu turbina pentru spirometrie
2. Dimensiuni:
Diametru interior – 30,5mm ±0,5mm
Diametru exterior – 33,3 mm ±0,5mm
Lungime – 41,5 mm ±5mm
4.  Compatibil cu spirometre MIR
5. De unică folosința
 Se vor prezenta mostre pentru verificare.</t>
  </si>
  <si>
    <t xml:space="preserve"> CAPDM-C 007094</t>
  </si>
  <si>
    <t>Hîrtie termosensibile rolă 50 x 20m (fără setcă) pemntru defibrilator Mindray, Bene Heart D30</t>
  </si>
  <si>
    <t>Hîrtie termosensibilă, rolă 50mm x20m, Mindray</t>
  </si>
  <si>
    <t>Hîrtie termosensibile rolă 50 x 20m, fără marcaj, compatibil cu defibrilator Mindray, Bene Heart D30</t>
  </si>
  <si>
    <t>IMSP CLINICA UNIVERSITARA DE ASISTENTA MEDICALA PRIMARA A USMF N TESTIMITANU</t>
  </si>
  <si>
    <t>Test-indicator sterilizare 126°/ 15 min  extern și Registru</t>
  </si>
  <si>
    <t>Test-indicator sterilizare 132°/ 20 min  intern</t>
  </si>
  <si>
    <t>Indicator p/u controlul calităţii sterilizării la 126grade 15 min. nr. de până la 1000 teste pe bază adezivă, clasa 4, cu virarea culorii indicatorului. Termen de valabilitate nu mai puțin de 24 luni, instrucțiune de utilizare în limba romană cu registru.</t>
  </si>
  <si>
    <r>
      <t>Indicator p/u controlul calităţii sterilizării la 126</t>
    </r>
    <r>
      <rPr>
        <sz val="11"/>
        <color theme="1"/>
        <rFont val="Calibri"/>
        <family val="2"/>
      </rPr>
      <t xml:space="preserve"> grade  </t>
    </r>
    <r>
      <rPr>
        <sz val="11"/>
        <color theme="1"/>
        <rFont val="Times New Roman"/>
        <family val="1"/>
        <charset val="204"/>
      </rPr>
      <t xml:space="preserve">15 min.  Extern, nr. de până la 1000 teste pe bază adezivă, clasa 4, cu virarea culorii indicatorului. Termen de valabilitate nu mai puțin de 24 luni, instrucțiune de utilizare în limba romană cu registru.
Registru aprobat de M.S al RM, Ord nr 828 din 31.10.2011 F257/e. </t>
    </r>
  </si>
  <si>
    <t>Test-indicator sterilizare 126°/ 15 min  intern și Registru</t>
  </si>
  <si>
    <t>Indicator p/u controlul calităţii sterilizării la 126grade 15 min. Intern, nr. de până la 1000 teste pe bază adezivă, clasa 4, cu virarea culorii indicatorului. Termen de valabilitate nu mai puțin de 24 luni, instrucțiune de utilizare în limba romană cu registru.</t>
  </si>
  <si>
    <t xml:space="preserve">Indicator p/u controlul calităţii sterilizării la 126⁰ 15 min. Intern, nr. de până la 1000 teste pe bază adezivă, clasa 4, cu virarea culorii indicatorului. Termen de valabilitate nu mai puțin de 24 luni, instrucțiune de utilizare în limba romană cu registru.
Registru aprobat de M.S al RM, Ord nr 828 din 31.10.2011 F257/e. </t>
  </si>
  <si>
    <t>Test-indicator sterilizare 134°/ 10 min extern și Registru</t>
  </si>
  <si>
    <t>Indicator p/u controlul calităţii sterilizării la 134 grade 10 min.extern, nr. de până la 1000 teste pe bază adezivă, clasa 4, cu virarea culorii indicatorului. Termen de valabilitate nu mai puțin de 24 luni, instrucțiune de utilizare în limba romană cu registru.</t>
  </si>
  <si>
    <t xml:space="preserve">Indicator p/u controlul calităţii sterilizării la 134 grade 10 min.extern, nr. de până la 1000 teste pe bază adezivă, clasa 4, cu virarea culorii indicatorului. Termen de valabilitate nu mai puțin de 24 luni, instrucțiune de utilizare în limba romană cu registru.
Registru aprobat de M.S al RM, Ord nr 828 din 31.10.2011 F257/e. </t>
  </si>
  <si>
    <t>Test-indicator sterilizare 134°/ 10 min  intern și Registru</t>
  </si>
  <si>
    <t>Indicator p/u controlul calităţii sterilizării la 134 grade 10 min. intern, nr. de până la 1000 teste pe bază adezivă, clasa 4, cu virarea culorii indicatorului. Termen de valabilitate nu mai puțin de 24 luni, instrucțiune de utilizare în limba romană cu registru.</t>
  </si>
  <si>
    <t xml:space="preserve">Indicator p/u controlul calităţii sterilizării la 134 grade 10 min. intern, nr. de până la 1000 teste pe bază adezivă, clasa 4, cu virarea culorii indicatorului. Termen de valabilitate nu mai puțin de 24 luni, instrucțiune de utilizare în limba romană cu registru.
Registru aprobat de M.S al RM, Ord nr 828 din 31.10.2011 F257/e. </t>
  </si>
  <si>
    <t>Test p/u glucometru ACCU-CHEK Instant N50</t>
  </si>
  <si>
    <t>Teste și lancete pentru
măsurarea glicemiei, ACCU - CHEK Instant</t>
  </si>
  <si>
    <t>1000 Teste și 1000 lancete pentru
măsurarea glicemiei
compatibile cu glucometrul ACCU - CHEK Instant
sau
1000 Teste și 1000 lancete pentru
măsurarea glicemiei compatibile cu
alte tipuri de glucometre.
Operatorul economic va furniza
beneficiarului cel puțin 2
glucometre, cu titlu gratuit.</t>
  </si>
  <si>
    <t>Teste glicemie Clever Check, 50 bucati</t>
  </si>
  <si>
    <t>Teste și lancete pentru
măsurarea glicemiei, Clever Check</t>
  </si>
  <si>
    <t>1000 Teste și 1000 lancete pentru
măsurarea glicemiei
compatibile cu glucometrul Clever Check
sau
1000 Teste și 1000 lancete pentru
măsurarea glicemiei compatibile cu
alte tipuri de glucometre.
Operatorul economic va furniza
beneficiarului cel puțin 2
glucometre, cu titlu gratuit.</t>
  </si>
  <si>
    <t>Specul auricular, tip Hartman-, diam 4,getabila</t>
  </si>
  <si>
    <t>Specul auricular, tip Hartman-, diam 4,getabila compatibil cu otooftalmoscop Visio 4000</t>
  </si>
  <si>
    <t>IMSP CENTRUL NATIONAL DE ASISTENTA MEDICALA URGENTA PRESPITALICEASCA</t>
  </si>
  <si>
    <t>Tuchscreen COMEN H3</t>
  </si>
  <si>
    <t>Tuchscreen compatibil cu ECG COMEN H3 cu SN H3190612007 versiune soft V1.1.2</t>
  </si>
  <si>
    <t xml:space="preserve"> CAPDM-P</t>
  </si>
  <si>
    <t>Placă de bază COMEN H3</t>
  </si>
  <si>
    <t>Placă de bază compatibilă cu ECG COMEN H3 cu SN H3190612007 versiune soft V1.1.2</t>
  </si>
  <si>
    <t>Acumulator COMEN H3</t>
  </si>
  <si>
    <t>Acumulator compatibil cu ECG COMEN H3 cu SN H3190612007 versiune soft V1.1.2</t>
  </si>
  <si>
    <t>Placă de derivații COMEN CM 1200B</t>
  </si>
  <si>
    <t>Placă de derivații compatibilă cu ECG COMEN CM 1200B cu SN 92171229033B</t>
  </si>
  <si>
    <t>Placă de bază COMEN CM 1200B</t>
  </si>
  <si>
    <t>Placă de bază compatibil cu ECG COMEN CM 1200B cu SN 92171229033B</t>
  </si>
  <si>
    <t>Acumulator COMEN CM 1200B</t>
  </si>
  <si>
    <t>Acumulator compatibil cu ECG COMEN CM 1200B cu SN 92171229033B</t>
  </si>
  <si>
    <t>Placă de bază COMEN CM 1200A</t>
  </si>
  <si>
    <t>Placă de bază compatibilă cu ECG COMEN CM 1200A cu SN 9118028018B</t>
  </si>
  <si>
    <t>Bloc de alimentare COMEN CM 1200A</t>
  </si>
  <si>
    <t>Bloc de alimentare compatibilă cu ECG COMEN CM 1200A cu SN</t>
  </si>
  <si>
    <t>Bloc de alimentare compatibilă cu ECG COMEN CM 1200A cu SN 9118028018B</t>
  </si>
  <si>
    <t>Placă de derivații COMEN CM 1200A</t>
  </si>
  <si>
    <t>Placă de derivații compatibilă cu ECG COMEN CM 1200A cu SN</t>
  </si>
  <si>
    <t>Placă de derivații compatibilă cu ECG COMEN CM 1200A cu SN 9118028018B</t>
  </si>
  <si>
    <t>Acumulator COMEN CM 1200A</t>
  </si>
  <si>
    <t>Acumulator compatibilă cu ECG COMEN CM 1200A cu SN</t>
  </si>
  <si>
    <t>Acumulator compatibilă cu ECG COMEN CM 1200A cu SN 9118028018B</t>
  </si>
  <si>
    <t>Ecran COMEN CM 1200A</t>
  </si>
  <si>
    <t>Ecran compatibilă cu ECG COMEN CM 1200A cu SN</t>
  </si>
  <si>
    <t>Ecran compatibilă cu ECG COMEN CM 1200A cu SN 9118028018B</t>
  </si>
  <si>
    <t>Tuchscreen COMEN CM 1200A</t>
  </si>
  <si>
    <t>Tuchscreen compatibilă cu ECG COMEN CM 1200A cu SN</t>
  </si>
  <si>
    <t>Tuchscreen compatibilă cu ECG COMEN CM 1200A  cu SN 9118028018B</t>
  </si>
  <si>
    <t>Acumulator EDAN SE 301A</t>
  </si>
  <si>
    <t>Acumulator compatibil cu ECG EDAN SE 301A</t>
  </si>
  <si>
    <t>Invertor 12 Vcc la 220 Vca</t>
  </si>
  <si>
    <t>Invertor 12 Vcc la 220 Vca cu puterea de minim 2 Kw</t>
  </si>
  <si>
    <t>Acumulator pentru Defibrilator CU Medical System LIFEGAIN</t>
  </si>
  <si>
    <t>Acumulator compatibil cu Defibrilator CU Medical System LIFEGAIN cu SN M2Q10B007</t>
  </si>
  <si>
    <t>Set padele pacient pentru Defibrilator CU Medical System LIFEGAIN</t>
  </si>
  <si>
    <t>Set padele pacient compatibil cu Defibrilator CU Medical System LIFEGAIN cu SN M2Q10B007</t>
  </si>
  <si>
    <t xml:space="preserve"> CAPDM-A</t>
  </si>
  <si>
    <t>Cablu de extensie pentru senzor SpO2 pentru Defibrilator CU Medical System LIFEGAIN</t>
  </si>
  <si>
    <t>Cablu de extensie pentru senzor SpO2 compatibil cu Defibrilator CU Medical System LIFEGAIN cu SN M2Q10B007</t>
  </si>
  <si>
    <t>Bloc de alimentare pentru Defibrilator CU Medical System LIFEGAIN</t>
  </si>
  <si>
    <t>Bloc de alimentare compatibil cu Defibrilator CU Medical System LIFEGAIN cu SN M2Q10B007</t>
  </si>
  <si>
    <t>Placa/modul de navigare în meniul principal pentru Defibrilator CU Medical System LIFEGAIN</t>
  </si>
  <si>
    <t>Placă/modul de navigare în meniu compatibil cu Defibrilator CU Medical System LIFEGAIN cu SN M2Q10B007</t>
  </si>
  <si>
    <t xml:space="preserve">Padele adezive pentru defibrilare de unică folosință compatibil cu Zoll M Series </t>
  </si>
  <si>
    <t>Padele adezive pentru defibrilare de unică folosință compatibil cu Zoll M Series de tip Adult</t>
  </si>
  <si>
    <t>Reductor cu debitmetru</t>
  </si>
  <si>
    <t>Reductor cu debitmetru pentru butelie de Oxigen cu filet 3/4 (DIN 9) cu conexiune la masca facială și debitul de Oxigen cuprins de la 1 pîn la 15 litri/min.</t>
  </si>
  <si>
    <t>Circuit de ventilare compatibil Drager Oxilog 3000 Plus</t>
  </si>
  <si>
    <t>Circuit de ventilare de unică folosință compatibil cu Ventilatorul pulmonar Drager oxilog 3000 Plus</t>
  </si>
  <si>
    <t xml:space="preserve">Circuit de ventilare de unică folosință compatibil cu Ventilatorul pulmonar Drager oxilog 3000 Plus Echivalent cu model 5703041
</t>
  </si>
  <si>
    <t>Circuit de ventilare compatibil cu Hamilton T1</t>
  </si>
  <si>
    <t>Circuit de ventilare de unică folosință compatibil cu Ventilator pulmonar Hamilton T1 tip Neonatal</t>
  </si>
  <si>
    <t xml:space="preserve">Senzor SpO2 de singură folosință </t>
  </si>
  <si>
    <t>Senzor SpO2 de singură folosință compatibil Nelcor pentru Adult</t>
  </si>
  <si>
    <t>Senzor SpO2 de singură folosință compatibil Nelcor pentru Neonatologie</t>
  </si>
  <si>
    <t>Padele adezive pentru defibrilare de unică folosință compatibil cu Defibrilator REANIBEX</t>
  </si>
  <si>
    <t>Padele adezive pentru defibrilare de unică folosință compatibil cu Defibrilator REANIBEX tip Adult</t>
  </si>
  <si>
    <t>Cablu ECG compatibil cu MAG-600</t>
  </si>
  <si>
    <t xml:space="preserve"> CAPDM-A 007427</t>
  </si>
  <si>
    <t xml:space="preserve">Cablu ECG compatibil cu dispozitivul Cardico-306 </t>
  </si>
  <si>
    <t>Teste pentru determinarea glucozei în sânge, compatibile cu dispozitivul glucometru „VivaChek”</t>
  </si>
  <si>
    <t>Teste și lancete pentru
măsurarea glicemiei, VivaChek</t>
  </si>
  <si>
    <t xml:space="preserve">benzi de unică folosință, subțiri, cu un sistem reactiv chimic. Funcționează împreună cu glucometrul VivaChek  pentru masurarea cantitativă a concentrației de glucoza din sangele proaspăt capilar. Testul conține glucozoxidază &lt;25UI, mediator &lt;300micrograme. </t>
  </si>
  <si>
    <t>220000 Teste și 220000 lancete pentru
măsurarea glicemiei
compatibile cu glucometrul VivaChek
sau
220000 Teste și 220000 lancete pentru
măsurarea glicemiei compatibile cu
alte tipuri de glucometre.
Operatorul economic va furniza
beneficiarului cel puțin 300
glucometre, cu titlu gratuit.</t>
  </si>
  <si>
    <t xml:space="preserve">de comasat </t>
  </si>
  <si>
    <t>Lancete pentru glucometru, compatibile cu dispozitivul „VivaChek”</t>
  </si>
  <si>
    <t xml:space="preserve">Lanceta sterilă de unică folosință cu ac 28G, utilizată cu dispozitivul de lansare compatibil.  </t>
  </si>
  <si>
    <t xml:space="preserve">Muștuc pentru alcotester, compatibil cu dispozitivul Alcofind AF-50 </t>
  </si>
  <si>
    <t xml:space="preserve">Muștuc pentru alcotester. Dimenisuni: diametru 12 mm; lungime 35 mm. De unică folosintă. Ambalat individual. Se vor prezenta mostre. </t>
  </si>
  <si>
    <t xml:space="preserve">Muștuc pentru  alcotester ALERT </t>
  </si>
  <si>
    <t xml:space="preserve">Muștuc pentru alcotester. Dimenisuni: diametru 15 mm; lungime 32 mm. De unică folosintă. Ambalat individual. Se vor prezenta mostre. </t>
  </si>
  <si>
    <t>IMSP CENTRUL REPUBLICAN DE DIAGNOSTICARE MEDICALA</t>
  </si>
  <si>
    <t>Tub conector tip"Y"</t>
  </si>
  <si>
    <t>1,Steril , 2 lungime-150cm ,3presiunea 300PSI 4conectare "Luer-Lock"  , 5 ambalaj individual , 6de unica folosinta</t>
  </si>
  <si>
    <t>bucata</t>
  </si>
  <si>
    <t>Prezentarea mostrelor pentru testare</t>
  </si>
  <si>
    <t xml:space="preserve"> Set Seringi</t>
  </si>
  <si>
    <t>Setul include seringa 100ml +200ml + Conector tub pentru angio, forma Y + 2 ace, compatibile cu injectomatul Nemoto;</t>
  </si>
  <si>
    <t>set</t>
  </si>
  <si>
    <t>Seringa 50</t>
  </si>
  <si>
    <t>50 ml , angio compatibile cu injectomatul Nemoto 50ml;</t>
  </si>
  <si>
    <t>IMSP CENTRUL REPUBLICAN DE REABILITARE PENTRU COPII</t>
  </si>
  <si>
    <t>Electrozi pentru electrostimulare 5 x 5 cm</t>
  </si>
  <si>
    <t>Electrozi pentru electrostimulare 5 x 5 cm,  Chattanooga Intelect Mobile Stim 2777</t>
  </si>
  <si>
    <t xml:space="preserve">Electrozi pentru electrostimulare. Dispozitiv compatibil: Chattanooga Intelect Mobile Stim 2777   Forma: Pătrată, Mărimea: 5cm x 5cm                                 Tip conector: SNAP         Propriețățile electrodului: auto-adeziv. Durata de utilizare: 10-30 aplicații </t>
  </si>
  <si>
    <t>buc.</t>
  </si>
  <si>
    <t>100,00</t>
  </si>
  <si>
    <t>Consumabile pentru Vital Stim Plus</t>
  </si>
  <si>
    <t>Electrozi pentru electrostimulare 5 x 5 cm,  Chattanooga VitalStim Plus</t>
  </si>
  <si>
    <t>Elctrozi pentru utilizarea terapiei VitalStim ECO small electrodes pakage.Electrozi pentru tineri și adulți măsoară 3/4''(1,9) în diametru,3"(8cm) în lungime și 2"(5cm) lățime,compatibil cu Chattanooga VitalStim Plus</t>
  </si>
  <si>
    <t>Invelitori electrozi 8x12cm</t>
  </si>
  <si>
    <t>Invelitori electrozi 8x12cm, Chattanooga Neo</t>
  </si>
  <si>
    <t xml:space="preserve">Invelitori electrozi (straturi hidrofile) pentru Dispozitiv Chattanooga Neo  Dimensiune: 8x12cm </t>
  </si>
  <si>
    <t>Hîrtie milimetrica ECG</t>
  </si>
  <si>
    <t>Hârtie milimetrică 80mm x 20m, Mindray BeneHeart R3</t>
  </si>
  <si>
    <t>Hîrtie milimetrica ECG 80mmx20m compatibil cu Mindray BeneHeart R3,Tip: rola</t>
  </si>
  <si>
    <t>Strip-Test pentru glucometru Beurer</t>
  </si>
  <si>
    <t>Teste și lancete pentru
măsurarea glicemiei, Beurer GL44/GL50</t>
  </si>
  <si>
    <t xml:space="preserve">Strip-Teste pentru masurarea glicemiei compatibil cu  glucometru BeurerGL44/GL50 </t>
  </si>
  <si>
    <t>200 Teste și 200 lancete pentru
măsurarea glicemiei
compatibile cu glucometrul Beurer GL44/GL50 
sau
200 Teste și 200 lancete pentru
măsurarea glicemiei compatibile cu
alte tipuri de glucometre.
Operatorul economic va furniza
beneficiarului cel puțin 1
glucometre, cu titlu gratuit.</t>
  </si>
  <si>
    <t>IMSP INSTITUTUL DE CARDIOLOGIE</t>
  </si>
  <si>
    <t>Bec pentru lame laringoscop</t>
  </si>
  <si>
    <t>Bec mic convențional pentru laringoscop 2.7 V, Compatibil cu următoarele branduri: Gima, Riester, And, Kawe, Timesco Truphatek, Bec pentru lame laringoscop destinat pentru Macintosh 1, 2, 3, 4</t>
  </si>
  <si>
    <t>Filtru respirator HME p/u aparatele de anestezie si ventilare</t>
  </si>
  <si>
    <t xml:space="preserve">Adulti, eficienta de filtrare bacteriana si virala 99,99%, resistenta fluxuxlui la 30 L/min-0,8-1.3 cmH2O,la 60 L/min-1,9-2.9 cmH2O, volum compresibil 57-67 ml,volum Tidal minimal 200 ml, return de lichid la VT-500 ml-30,8-32.3 mg H2O/L, port Luer p/proba de CO2
Prezentarea de mostre la momentul licitatiei                                                                                                  </t>
  </si>
  <si>
    <t>Seturi de tuburi pentru ventilatoare (contururi)</t>
  </si>
  <si>
    <t xml:space="preserve">Circuit de respiratie Flextube 22 mm cu doua fire de incalzire cu umidificator, cu camera de auou-mplere si furtun suplimentar
Calitati: Transparent, gofrat, tip”inspire-expir”, Completarea cu: 1) sac de rezerva 0,5-1,0 l, 2)cu conector ungiular, Lungime 150-180 cm, Cu fir/sensor de temperatura in tubul de inspir: Steril, Prezentarea de mostre la momentul licitatiei           </t>
  </si>
  <si>
    <t>Electrozi multifunctionali Stat-padz II   (compatibeli cu defibrilatorul Mindray)</t>
  </si>
  <si>
    <t>Electrozi multifunctionali   de tip Stat-padz II, Mindray</t>
  </si>
  <si>
    <t>Electrod autoadeziv de calitate unalta   pentru procedurile de defibrilare si stimulare cardiaca. De unica folosinta.</t>
  </si>
  <si>
    <t>Electrod autoadeziv de calitate înalta pentru procedurile de defibrilare si stimulare cardiaca. De unica folosinta.
Echivalent cu Stat-padz II 
compatibeli cu defibrilatorul Mindray</t>
  </si>
  <si>
    <t>Hirtie terminca pentru printer 50mm x 15 m compatibil cu monitor ePM 15 Mindray</t>
  </si>
  <si>
    <t>Hîrtie termosensibilă 50mm x 15mm, ePM 15 Mindray</t>
  </si>
  <si>
    <t>Hîrtie termosensibilă 50mm x 15mm
compatibilă cu monitor ePM 15 Mindray</t>
  </si>
  <si>
    <t>CAPDM-C 007075</t>
  </si>
  <si>
    <t>Sistem Recipient pentru acumularea eliminărilor biologice</t>
  </si>
  <si>
    <t>Sistem de vacuum cu presiune mare tip “Polyseal”Tub de conexiune la sistema de vacuum. Tun de conexiune la dren pentru drenajul pleural transparent. Gradație în ml cu posibilitatea monitoringului eliminărilor la fiecare oră. Cu Fixatoare metalice, Steril, Capacitatea colectorului de acumulare 1200-2000 ml. Ambalat individual</t>
  </si>
  <si>
    <t>Electrozi ECG 55-60mm (adulti), adezivi de unica utilizare, termen lung de utilizare 72 ore</t>
  </si>
  <si>
    <t xml:space="preserve">1.diametru  55 - 60mm, 2. electrod Ag/AgCl, 3.cu gel lichid, 4.fără latex, 5.de unică folosință, 6.conector metalic (ECG Snap Connector), 7. adeziv neiritanti, hipoalergenic pentru piele sau utilizatori, 8. termen de utilizare min. 72 ore, 9. posibilitatea de defibrilare a pacientului.  </t>
  </si>
  <si>
    <t>Filtru antibacterial antiviral cu return hidrotermic (HME) p/VAP</t>
  </si>
  <si>
    <t>Filtru(formă pătrată) respirator HME p/u aparatele de anestezie si ventilare,eficienta de filtrare bacteriana si virala 99,9999%,resistenta fluxuxlui la 30 L/min-1,0 cmH2O,la 60 L/min-2,6 cmH2O,volum compresibil 60 ml,volum Tidal minimal 200 ml,return de lichid la VT-500 ml-30,6 mg H2O/L,port Luer p/proba de CO2</t>
  </si>
  <si>
    <t>Senzor O2 tip galvanic compatibil cu masina de anestezie WATO EX-65 PRO Mindray</t>
  </si>
  <si>
    <t>Senzor O2 tip galvanic, WATO EX-65 PRO Mindray</t>
  </si>
  <si>
    <t>Determinarea FiO2 in circuitul respirator al masinii de anestezie
Limitele determinarii concentratiei oxigenului 21-100%</t>
  </si>
  <si>
    <t>Determinarea FiO2 in circuitul respirator al masinii de anestezie
Limitele determinarii concentratiei oxigenului 21-100%
compatibil cu WATO EX-65 PRO Mindray</t>
  </si>
  <si>
    <t>Colector pentru aspirator chirurgical Fazzini F 60</t>
  </si>
  <si>
    <t>volum 2 litri, din Makrolon,autoclavabile prevazute cu supapa de supra-plin,</t>
  </si>
  <si>
    <t>volum 2 litri, din Makrolon,autoclavabile prevazute cu supapa de supra-plin,
compatibil cu Fazzini F 60</t>
  </si>
  <si>
    <t xml:space="preserve">Filtru antibacterian pentru aspirator chirurgical Fazzini F60 </t>
  </si>
  <si>
    <t>Cabluri pentru masurarea temperaturii rectale şi esofagiene compatibil cu monitor BeneVision seria N 15 Mindray</t>
  </si>
  <si>
    <t>Cabluri pentru masurarea temperaturi,BeneVision seria N 15 Mindray</t>
  </si>
  <si>
    <t>Kit pentru sterilizare cu 100% Etilen Oxid</t>
  </si>
  <si>
    <t>Kit pentru sterilizare cu 100% Etilen Oxid. Set Lit-ul va contine cartidge de sterilizare cu 100% Etilen Oxid de 11gr. Punga pentru sterilizare cu dimensiunile 22inx36in (55,88cmx91,44cm), clip pentru umeditate, dozimetru 34.</t>
  </si>
  <si>
    <t>Kit-ul de mentenanta 1 an, compatibil cu ventilator SV 650 Mindray in set cu sensor O2 tip galvanic</t>
  </si>
  <si>
    <t>Kit-ul de mentenanta 1 an,  SV 650 Mindray in set cu sensor O2 tip galvanic</t>
  </si>
  <si>
    <t xml:space="preserve"> CAPDM-P 007309</t>
  </si>
  <si>
    <t>Set sensor SpO2  compatibil cu monitor BeneVision seria N 15 Mindray</t>
  </si>
  <si>
    <t>Set sensor SpO2, BeneVision seria N 15 Mindray</t>
  </si>
  <si>
    <t>reutilizabil, alcatuit din cablu compatibil cu monitor ePM 15 Mindray si sensor SpO2 tip cleste, adult,</t>
  </si>
  <si>
    <t>Set sensor SpO2
reutilizabil, alcatuit din cablu compatibil cu monitor ePM 15 Mindray si sensor SpO2 tip cleste, adult,</t>
  </si>
  <si>
    <t>Bucata</t>
  </si>
  <si>
    <t>Sensor SpO2 tip clip</t>
  </si>
  <si>
    <t>Sensor SpO2 tip clip, BeneVision seria N 15 Mindray</t>
  </si>
  <si>
    <t>adult, reutilizabil, compatibil cu monitor BeneVision seria N 15 Mindray</t>
  </si>
  <si>
    <t>Sensor SpO2 tip clip,
adult, reutilizabil, compatibil cu monitor BeneVision seria N 15 Mindray</t>
  </si>
  <si>
    <t>Sisteme pentru masurarea presiunii arteriale directe, getabile, adult,                                                                                                                                                                                                                                                                                                 tehnologia “UTAH”,compatibil cu monitor ePM 15 Mindray cu 2 linii</t>
  </si>
  <si>
    <t xml:space="preserve">Diapazonul de masurare - 50 mmHg - 300 mmHg;  Sensibilitatea 5µv/v/mmHg+-1% min 4,0 kV;  Protecţie de impulsul defibrilatorului; suport pentru amplasarea si fixarea  sennzorilor de presiune arteriala si venoasa, Prezentarea de mostre.
</t>
  </si>
  <si>
    <t xml:space="preserve">Diapazonul de masurare - 50 mmHg - 300 mmHg;  Sensibilitatea 5µv/v/mmHg+-1% ;  Protecţie de impulsul defibrilatorului; suport pentru amplasarea si fixarea  sennzorilor de presiune arteriala si venoasa, Prezentarea de mostre.
</t>
  </si>
  <si>
    <t>Nutrifix set pentru alimentare enterala B/BRAUN</t>
  </si>
  <si>
    <t>Set pentru alimentare enterala  Enteroport Plus, B. Braun,</t>
  </si>
  <si>
    <t>Set de tip Nutrifix pentru alimentație enterală, compatibil cu pompa Enteroport Plus de la B. Braun, aflată în dotare</t>
  </si>
  <si>
    <t>Electrozi neutri cu lipici</t>
  </si>
  <si>
    <t>Electrozi de suprafata pentru stimulare electrica (TOFscan)</t>
  </si>
  <si>
    <t>conectare"buton", să permită stimularea electrică a pacienților, compatibili cu valorile de stimulare de până la 300 V și un curent maxim de 60 mA. Suprafața de contact a electrozilor cu pacientul  mai mare de 1,8 cm²</t>
  </si>
  <si>
    <t xml:space="preserve">Bucata </t>
  </si>
  <si>
    <t xml:space="preserve">Sensor BIS cu patru electrozi, </t>
  </si>
  <si>
    <t>adult</t>
  </si>
  <si>
    <t>Sensor BIS cu patru electrozi, 
adult</t>
  </si>
  <si>
    <t>Borcan pentru aspirator HOSPIVAC 400, CA-MI, volum 5000 ml</t>
  </si>
  <si>
    <t xml:space="preserve">Lanteta sterila pentru glucometru </t>
  </si>
  <si>
    <t>Teste pentru glucometru (VIVACHEk)</t>
  </si>
  <si>
    <t>Teste pentru glucometru (VIVACHEK)</t>
  </si>
  <si>
    <t>Teste pentru glucometru (CLEVERCHECK)</t>
  </si>
  <si>
    <t>Teste pentru glucometru (CLEVERCHEK)</t>
  </si>
  <si>
    <t>Perfuzor cu adaptor universal pentru pompa de nutritie enterala Enteroport plus Bbraun</t>
  </si>
  <si>
    <t>Sensor pentru oximetrie cerebrala/somatica INVOS</t>
  </si>
  <si>
    <t>adult, tehnologia NIRS</t>
  </si>
  <si>
    <t>Sensor pentru oximetrie cerebrala/somatica INVOS
adult, tehnologia NIRS</t>
  </si>
  <si>
    <t>Extensie avansata cu poliuretan si spuma Visco in strat superior pentru patul Essenza 300, Linet</t>
  </si>
  <si>
    <t xml:space="preserve">Dimensiuni 20x90x14/ Taieturi la colturi: drepte/ Spuma viscoelastica, memory foam/ Husa detasabila, lavabila, cu fermuar, deschidere 180° </t>
  </si>
  <si>
    <t xml:space="preserve">
Dimensiuni 20x90x14/ Taieturi la colturi: drepte/ Spuma viscoelastica, memory foam/ Husa detasabila, lavabila, cu fermuar, deschidere 180°
compatibil </t>
  </si>
  <si>
    <t>CAPDM-A</t>
  </si>
  <si>
    <t>Kit de nebulizare pneumatic pentru ventilatoarele pulmonare Mindray</t>
  </si>
  <si>
    <t>Adult, Pahar de nebulizare, furtun, piesa in forma de T pentru conectare la tubul endotraheal si tuburile de ventilare</t>
  </si>
  <si>
    <t>Senzor Flux, UVENT-T, UTAS</t>
  </si>
  <si>
    <t>Valva expir, UVENT-T, UTAS</t>
  </si>
  <si>
    <t>Cablu pacient pentru  electrocardiograf</t>
  </si>
  <si>
    <t>Cablu pacient pentru  electrocardiograf, Cu 10 fire (rezistențqa 10 KOM) Compatibil cu SE-1201</t>
  </si>
  <si>
    <t>Cablu sensor SpO2  adult reutilizabil integrat compatibil cu monitor Edan IM80</t>
  </si>
  <si>
    <t>Cablu sensor SpO2  adult reutilizabil integrat compatibil cu monitor Edan IM12</t>
  </si>
  <si>
    <t>Cablu electrozi EKG  reutilizabil integrat compatibil cu monitor  Edan IM80</t>
  </si>
  <si>
    <t>Cablu electrozi EKG  reutilizabil integrat compatibil cu monitor Edan IM12</t>
  </si>
  <si>
    <t>Cablu pacient pentru  electrocardiograf,  Cardimax FX-326U</t>
  </si>
  <si>
    <t>Cablu pacient pentru  electrocardiograf, Cu 10 fire (rezistențqa 10 KOM) Compatibil cu Cardimax FX-326U</t>
  </si>
  <si>
    <t xml:space="preserve">Cablu  registrator ECG (Holter) </t>
  </si>
  <si>
    <t xml:space="preserve">Cablu  registrator ECG (Holter), EC-12H Labteh </t>
  </si>
  <si>
    <t xml:space="preserve">Cablu  registrator ECG (Holter) 24 ore compatibil cu EC-12H cu 10fire </t>
  </si>
  <si>
    <t>Cablu  registrator ECG (Holter) 24 ore compatibil cu EC-12H cu 10fire , Labteh</t>
  </si>
  <si>
    <t xml:space="preserve">Manjeta pentru Holter TA 24 ore </t>
  </si>
  <si>
    <t>Manjeta pentru Holter TA 24 ore, WALK 200B  Cardioline</t>
  </si>
  <si>
    <t xml:space="preserve">Manjeta  TA  (Holter) 24 ore  compatibil cu WALK 200B </t>
  </si>
  <si>
    <t>Manjeta  TA  (Holter) 24 ore  compatibil cu WALK 200B, Cardioline</t>
  </si>
  <si>
    <t>KIT pentru turbina, UVENT-T, UTAS</t>
  </si>
  <si>
    <t>IMSP INSTITUTUL DE MEDICINA URGENTA</t>
  </si>
  <si>
    <t>Role pentru sterilizare</t>
  </si>
  <si>
    <t>Role pentru sterilizare 75mm x 70m</t>
  </si>
  <si>
    <t>Rolă   pentru  sterilizare.Dimensiuni        75 mm x 70 m.</t>
  </si>
  <si>
    <t>Rolă   pentru  sterilizare. Dimensiuni 75 mm x 70m, compatibilă cu  Sterilizatorul  GAZ-PLAZMA RENO S-130D</t>
  </si>
  <si>
    <t>Role pentru sterilizare 100mm x 70m</t>
  </si>
  <si>
    <t>Rolă   pentru  sterilizare.Dimensiuni        100 mm x 70 m.</t>
  </si>
  <si>
    <t xml:space="preserve"> Rolă   pentru  sterilizare. Dimensiuni 100 mm x 70m, compatibilă cu  Sterilizatorul  GAZ-PLAZMA RENO S-130D</t>
  </si>
  <si>
    <t>Role pentru sterilizare 150mm x 70m</t>
  </si>
  <si>
    <t>Rolă   pentru  sterilizare. Dimensiuni        150 mm x 70 m.</t>
  </si>
  <si>
    <t xml:space="preserve"> Rolă   pentru  sterilizare.Dimensiuni  150 mm x 70 m, compatibilă cu  Sterilizatorul  GAZ-PLAZMA RENO S-130D</t>
  </si>
  <si>
    <t>Role pentru sterilizare 250mm x 70m</t>
  </si>
  <si>
    <t>Rolă   pentru  sterilizare. Dimensiuni        250 mm x 70 m.</t>
  </si>
  <si>
    <t>Rolă   pentru  sterilizare. Dimensiuni  250 mm x 70 m, compatibilă cu  Sterilizatorul  GAZ-PLAZMA RENO S-130D</t>
  </si>
  <si>
    <t>Role pentru sterilizare 300mm x 70m</t>
  </si>
  <si>
    <t>Rolă   pentru  sterilizare. Dimensiuni        300 mm x 70 m.</t>
  </si>
  <si>
    <t>Rolă   pentru  sterilizare. Dimensiuni 300 mm x 70 m, compatibilă cu  Sterilizatorul  GAZ-PLAZMA RENO S-130D</t>
  </si>
  <si>
    <t>Sare(dedurizant  pentru  apă)</t>
  </si>
  <si>
    <t>Sare tabletată,,Universală,, în saci de polietilenă a căte 25 kg.,închiși iermetic (dedurizant  pentru  apă)</t>
  </si>
  <si>
    <t>Sare tabletată, în saci de polietilenă a căte 25 kg.,închiși iermetic (dedurizant  pentru  apă)</t>
  </si>
  <si>
    <t>kg</t>
  </si>
  <si>
    <t>C</t>
  </si>
  <si>
    <t>Agent  de  sterilizare pentru  Sterilizatorul cu Plasmă Reno S130D. Capsule cu H2O2  10 ml. de unică folosință.</t>
  </si>
  <si>
    <t>Agent  de  sterilizare pentru Sterilizatorul cu Plasmă                   Reno S - 130D.Capsule cu H2O2 10 ml. de unică folosință.</t>
  </si>
  <si>
    <t>Agent  de  sterilizare pentru Sterilizatorul cu Plasmă                     Reno S - 130D.Capsule cu H2O2 10 ml. de unică folosință.</t>
  </si>
  <si>
    <t>Agent  de  sterilizare compatibil cu Sterilizatorul cu Plasmă Reno S - 130D.
Capsule cu H2O2 10 ml. de unică folosință.</t>
  </si>
  <si>
    <t>Test  indicator</t>
  </si>
  <si>
    <t>Test de  tip Bowie-Dik  121℃ - 134℃ (externe)</t>
  </si>
  <si>
    <t>Test  Bowie - Dik</t>
  </si>
  <si>
    <t>Test   Bowie-Dik  121℃ - 134℃ (externe) p-u  autoclav</t>
  </si>
  <si>
    <t>Test de tip  Biotest   55℃ (externe)</t>
  </si>
  <si>
    <t>Test   Biotest</t>
  </si>
  <si>
    <t xml:space="preserve">Test  Biotest   55℃ (externe) p-u  plazmă de unică folosință, pentru monitorizarea sterilizării cu vapori de peroxid de hidrogen.Este o eprubetă cu spori uscați ai bacteriei Geobacillus stearothermophilus tulpina VKM B-718 plasați în partea de jos.În interiorul eprubetei se aflăo fiolă de sticlăcare conține un mediu indicator steril.Tubul de plastic este închis cu un capac cu orificii protejate de un filtru bacterian. </t>
  </si>
  <si>
    <t>Test  indicator 55℃(externe)p-u sterilizarea cu vapori de peroxid de hidrogen</t>
  </si>
  <si>
    <t>Test  indicator 55℃ ( externe)</t>
  </si>
  <si>
    <t xml:space="preserve">55℃(externe)p-u sterilizarea cu vapori de peroxid de hidrogen,compatibil cu sterilizatorul RENO S-130D plazma,este de  formă dreptunghiulară,sigla producătorului,cu un marcaj indicator care după sterilizare își schimbă culoarea,rubrică unde se scrie data,operatorul și sterilizatorul.Indicatoarele sunt realizate cu un strat lipicios pe partea verso a căruia sunt acoperite cu hîrtie de protecție. </t>
  </si>
  <si>
    <t>IMSP INSTITUTUL DE PNEUMOLOGIE CHIRIL DRAGANIUC</t>
  </si>
  <si>
    <t>Cablu electrozi EKG  reutilizabil integrat compatibil cu monitor Biocare PM 900</t>
  </si>
  <si>
    <t>Cablu electrozi ECG  reutilizabil integrat, Biocare PM 900</t>
  </si>
  <si>
    <t>Cablu electrozi ECG  reutilizabil integrat compatibil cu monitor Biocare PM 900</t>
  </si>
  <si>
    <t>Nebulizator pentru VAP</t>
  </si>
  <si>
    <t>Confectionat din PVC medical,dotat cu piesa T conector standard 15/22 mm,tub de conectare la sursa de O2,container pu nebulizare cu vol minim 6 ml.</t>
  </si>
  <si>
    <t>CAPDM-C</t>
  </si>
  <si>
    <t>Traductor de unica folosință IBP</t>
  </si>
  <si>
    <t>Traductor de unica folosință IBP, tip BD, Edan</t>
  </si>
  <si>
    <t>Compatibil cu conector tip BD, cu un canal,cu un canal,compatibil cu Monitor Edan iM 80, iM 60. ( parametrii tehnici)</t>
  </si>
  <si>
    <t>Pu ECG , EDAN SE 300 - set cablu+cleme+pare</t>
  </si>
  <si>
    <t>Set electrozi ECG 4 cleste + 6 pare (adult), reutilizabil, EDAN SE 300</t>
  </si>
  <si>
    <t>1. Parte activa a electrodului din Ag/AgCl, 2. set electrozi 4 tip clește (roșu, glaben, verde, negru) + 6 tip pare, 3. tip pacient adult, 4. compatibil cu EDAN SE 300</t>
  </si>
  <si>
    <t>Pu ECG , FAZINI  600 A- set cablu+cleme+pare</t>
  </si>
  <si>
    <t xml:space="preserve">Teste pu determinarea glucozei N 50 + lancete. </t>
  </si>
  <si>
    <t>Pu aparatele on call.</t>
  </si>
  <si>
    <t>Sistem recipient  pu acumularea eliminarilor biologice din plaga 800 ml</t>
  </si>
  <si>
    <t>Polyvac set vol 800 ml</t>
  </si>
  <si>
    <t>Sistem recipient  pu acumularea eliminarilor biologice din plaga 800 m
Polyvac set vol 800 ml</t>
  </si>
  <si>
    <t>Bronhoflex vortex 5,6mm</t>
  </si>
  <si>
    <t>https://sofmedica.com/ro/products/single-use-broncoflex/</t>
  </si>
  <si>
    <t>Bronhoscoape de unică folosință detasabile</t>
  </si>
  <si>
    <t>Bronhoflex vortex 3,9mm</t>
  </si>
  <si>
    <t>detasabile</t>
  </si>
  <si>
    <t xml:space="preserve">Circuit de unică folosință matur, 22 mm, cu plămân de rezervă și furtun suplimentar, compatibil cu mașina de anestezie Mindray Wato EXanestezie Mindray Wato EX </t>
  </si>
  <si>
    <t>Circuit de unică utilizare matur, 22 mm de minim 2 m cu plamîn de rezervă, furtun suplimentar  de minim 1,5 m și piesa Y cu port luer lock 22F - 22M/15F pentru mașină de anestezie Mindray Wato EX 35</t>
  </si>
  <si>
    <t>CAPDM-С</t>
  </si>
  <si>
    <t>Senzor de temperatură pentru umidifcator SH530, PN: 400SH223</t>
  </si>
  <si>
    <t>Senzor de temperatură pentru umidifcator  SH530, Jike</t>
  </si>
  <si>
    <t>Senzor de temperatură pentru umidifcator Jike SH530, PN: 400SH223</t>
  </si>
  <si>
    <t>Umidificator SH330 cu 9 nivele de încălzire, fără necesitate de senzor de temperatură, sistem de fixare pe ventilator, cameră de umidificare Adult reutilizabilă, alimentare electrică 220V - 50Hz</t>
  </si>
  <si>
    <t xml:space="preserve">Indicator p/u controlul calităţii sterilizării la 180 grade . Extern, nr. de până la 1000 teste pe bază adezivă, clasa 4, cu virarea culorii indicatorului. Termen de valabilitate nu mai puțin de 24 luni, instrucțiune de utilizare în limba romană cu registru.  </t>
  </si>
  <si>
    <t>-</t>
  </si>
  <si>
    <t>Termohîrtie  p/u ECG MAC simple ARM TARGA</t>
  </si>
  <si>
    <t>210 mm-210 mm-20 m</t>
  </si>
  <si>
    <t>Bucată forma de carte</t>
  </si>
  <si>
    <t>Sacoșe p/u mașina MED -ISA</t>
  </si>
  <si>
    <t>Clean scopa advantage</t>
  </si>
  <si>
    <t>Lenta (hîrtie0p-u mașina MED-ISA</t>
  </si>
  <si>
    <t>Hârtie termosensibilă, 57x20m, MED-ISA</t>
  </si>
  <si>
    <t>57 mmx21 m</t>
  </si>
  <si>
    <t>Hârtie termosensibilă 57mm x20m, compatibila cu MED-ISA</t>
  </si>
  <si>
    <t xml:space="preserve">Film DVB+CE </t>
  </si>
  <si>
    <t>Film radiologic 20 x 25 cm  (8 x 10 inch), Carestreeam</t>
  </si>
  <si>
    <t>14x17(35x43)n125</t>
  </si>
  <si>
    <t>Film radiologic 35 x 43 cm  (8 x 10 inch),
Echivalent cu model DVB+
Până la 125 bucăți în cutie
compatibil cu Dry View 5700</t>
  </si>
  <si>
    <t>Cutii</t>
  </si>
  <si>
    <t>CD-R</t>
  </si>
  <si>
    <t>Discuri</t>
  </si>
  <si>
    <t xml:space="preserve">Valva de biopsie MD 495 </t>
  </si>
  <si>
    <t>Pentru vidio-bronhoscop Olympus BF-1TQ 170</t>
  </si>
  <si>
    <t>CAPDM-P</t>
  </si>
  <si>
    <t>IMSP INSTITUTUL MAMEI SI COPILULUI</t>
  </si>
  <si>
    <t xml:space="preserve">Filtru de carbune </t>
  </si>
  <si>
    <t>Filtru de carbune pentru aspirator de fum compatibil cu aspirator LED Surtron Evac</t>
  </si>
  <si>
    <t>Consumabil</t>
  </si>
  <si>
    <t>Circuit de ventilare CPAP nou nascut</t>
  </si>
  <si>
    <t>Circuite de unică utilizare pentru pacient nou-născut compatibil cu dispozitive CPAP, single limb. Lungimea totală de lucru minim 1.6 m, . Setul să fie format din: 
1. tub de conectare a portului de inspir al ventilatorului cu camera de umidificare cu diametre de conectare unul 22F al doilea 15M cu o lungime de minim 0.8 m, 
2. camera de umidificare cu umplere automată pentru nou nascut cu porturi de conectare 22M cu diametrul suportului de 120 mm proiectat cu margina de 4 mm pentru fixarea în umidificator, 
3. circuit cu port de la camera de umidificare 22F cu fir de incalzire conectat de la sistemul de umidificare, cu 2 porturi de conectare a sensorului de temperatură de 7.6 mm, unul la iesire de camera de umidificare al doilea linga generatorul nazal,
4. generator nazal cu bandă de fixare pe cap și tub pentru monitorizarea presiunii cu conectare la dispozitivul CPAP și tub gofrat extensibil de exacuare a gazului expirat, 
5. pronguri nazale mărimi S, M, L
6. caciulite de marimi 1, 2, 3 livrate in proportie de 33% fiecare la cantitatea totală. 
Certificat de calitate pentru dispozitive medicale 93/42 sau 2017/745 și certificat ISO 13485.</t>
  </si>
  <si>
    <t xml:space="preserve">Circuite de unică utilizare pentru pacient nou-născut compatibil cu dispozitive CPAP, single limb. Lungimea totală de lucru minim 1.6 m, . Setul să fie format din: 
1. tub de conectare a portului de inspir al ventilatorului cu camera de umidificare cu diametre de conectare unul 22F al doilea 15M cu o lungime de minim 0.8 m, 
2. camera de umidificare cu umplere automată pentru nou nascut cu porturi de conectare 22M cu diametrul suportului de 120 mm proiectat cu margina de 4 mm pentru fixarea în umidificator, 
3. circuit cu port de la camera de umidificare 22F cu fir de incalzire conectat de la sistemul de umidificare, cu 2 porturi de conectare a sensorului de temperatură de 7.6 mm, unul la iesire de camera de umidificare al doilea linga generatorul nazal,
4. generator nazal cu bandă de fixare pe cap și tub pentru monitorizarea presiunii cu conectare la dispozitivul CPAP și tub gofrat extensibil de exacuare a gazului expirat, 
5. pronguri nazale mărimi S, M, L
6. caciulite de marimi 1, 2, 3 livrate in proportie de 33% fiecare la cantitatea totală. 
</t>
  </si>
  <si>
    <t>Set</t>
  </si>
  <si>
    <t>Circuit de ventilare nou nascut</t>
  </si>
  <si>
    <t>Circuite de unică utilizare pentru pacient nou-născut compatibil cu dispozitive de ventilare, dual limb.
Lungimea totală de lucru minim 1.6 m, diametru 10 mm, Setul să fie format din:
1. tub de conectare a portului de inspir cu camera de umidificare cu diametrele capetelor unul de 15M/11.4F al doilea 22F
2. camera de umidificare cu umplere automată pentru nou nascut cu porturi de conectare 22M cu diametrul suportului de 120 mm proiectat cu margina de 4 mm pentru fixarea în umidificator, 
3. circuit de ventilare cu port de 22F pentru conectarea la camera de umidificare, cu fir de incalzire de standard pentru circuite de unica utilizare, cu 2 porturi de 7.6 mm pentru sensorul de temperatura, unul amplasat la ieșirea din camerea de umidificare al doilea lînga piesa Y pe linia de inspir, cu port de conectare la tubul endotraheal de 15F și port de monitorizare a presiunii în circuit, capcana de condens, detașabilă amplasată pe linia de expir, și diametrul de fixare la portul de expir al ventilatorului de 15M/11.4F
4. linie de monitorizare a presiunii din circuit cu diametru de conectare la ventilator 5F și al doilea conector compatibil cu diametrul portului de monitorizare de pe piesa Y.
5. adaptoare incluse in set 15F la 22F
Certificat de calitate pentru dispozitive medicale 93/42 sau 2017/745 și certificat ISO 13485.</t>
  </si>
  <si>
    <t>Circuite de unică utilizare pentru pacient nou-născut compatibil cu dispozitive de ventilare, dual limb.
Lungimea totală de lucru minim 1.6 m, diametru 10 mm, Setul să fie format din:
1. tub de conectare a portului de inspir cu camera de umidificare cu diametrele capetelor unul de 15M/11.4F al doilea 22F
2. camera de umidificare cu umplere automată pentru nou nascut cu porturi de conectare 22M cu diametrul suportului de 120 mm proiectat cu margina de 4 mm pentru fixarea în umidificator, 
3. circuit de ventilare cu port de 22F pentru conectarea la camera de umidificare, cu fir de incalzire de standard pentru circuite de unica utilizare, cu 2 porturi de 7.6 mm pentru sensorul de temperatura, unul amplasat la ieșirea din camerea de umidificare al doilea lînga piesa Y pe linia de inspir, cu port de conectare la tubul endotraheal de 15F și port de monitorizare a presiunii în circuit, capcana de condens, detașabilă amplasată pe linia de expir, și diametrul de fixare la portul de expir al ventilatorului de 15M/11.4F
4. linie de monitorizare a presiunii din circuit cu diametru de conectare la ventilator 5F și al doilea conector compatibil cu diametrul portului de monitorizare de pe piesa Y.
5. adaptoare incluse in set 15F la 22F</t>
  </si>
  <si>
    <t>Circuit de ventilare pediatric</t>
  </si>
  <si>
    <t>Circuite de unică utilizare pentru pacient pediatric compatibil cu dispozitive de ventilare, dual limb.
Lungimea totală de lucru minim 1.6 m, diametru 15 mm, Setul să fie format din:
1. tub de conectare a portului de inspir cu camera de umidificare cu diametrele capetelor unul de 22F al doilea 22F
2. camera de umidificare cu umplere automată pentru pacient pediatric cu porturi de conectare 22M cu diametrul suportului de 120 mm proiectat cu margina de 4 mm pentru fixarea în umidificator, 
3. circuit de ventilare cu port de 22F pentru conectarea la camera de umidificare, cu fir de incalzire de standard pentru circuite de unica utilizare, cu 2 porturi de 7.6 mm pentru sensorul de temperatura, unul amplasat la ieșirea din camerea de umidificare al doilea lînga piesa Y pe linia de inspir, capcana de condens, detașabilă amplasată pe linia de expir, și diametrul de fixare la portul de expir al ventilatorului de 22F
Certificat de calitate pentru dispozitive medicale 93/42 sau 2017/745 și certificat ISO 13485.</t>
  </si>
  <si>
    <t xml:space="preserve">Circuite de unică utilizare pentru pacient pediatric compatibil cu dispozitive de ventilare, dual limb.
Lungimea totală de lucru minim 1.6 m, diametru 15 mm, Setul să fie format din:
1. tub de conectare a portului de inspir cu camera de umidificare cu diametrele capetelor unul de 22F al doilea 22F
2. camera de umidificare cu umplere automată pentru pacient pediatric cu porturi de conectare 22M cu diametrul suportului de 120 mm proiectat cu margina de 4 mm pentru fixarea în umidificator, 
3. circuit de ventilare cu port de 22F pentru conectarea la camera de umidificare, cu fir de incalzire de standard pentru circuite de unica utilizare, cu 2 porturi de 7.6 mm pentru sensorul de temperatura, unul amplasat la ieșirea din camerea de umidificare al doilea lînga piesa Y pe linia de inspir, capcana de condens, detașabilă amplasată pe linia de expir, și diametrul de fixare la portul de expir al ventilatorului de 22F
</t>
  </si>
  <si>
    <t>Circuit de ventilare adult</t>
  </si>
  <si>
    <t>Circuite de unică utilizare pentru pacient adult compatibil cu dispozitive de ventilare, dual limb.
Lungimea totală de lucru minim 1.6 m, diametru 22 mm, Setul să fie format din:
1. tub de conectare a portului de inspir cu camera de umidificare cu diametrele capetelor unul de 22F al doilea 22F
2. camera de umidificare cu umplere automată pentru pacient adult cu porturi de conectare 22M cu diametrul suportului de 120 mm proiectat cu margina de 4 mm pentru fixarea în umidificator, 
3. circuit de ventilare cu port de 22F pentru conectarea la camera de umidificare, cu fir de incalzire de standard pentru circuite de unica utilizare, cu 2 porturi de 7.6 mm pentru sensorul de temperatura, unul amplasat la ieșirea din camerea de umidificare al doilea lînga piesa Y pe linia de inspir, capcana de condens, detașabilă amplasată pe linia de expir, și diametrul de fixare la portul de expir al ventilatorului de 22F
Certificat de calitate pentru dispozitive medicale 93/42 sau 2017/745 și certificat ISO 13485.</t>
  </si>
  <si>
    <t xml:space="preserve">Circuite de unică utilizare pentru pacient adult compatibil cu dispozitive de ventilare, dual limb.
Lungimea totală de lucru minim 1.6 m, diametru 22 mm, Setul să fie format din:
1. tub de conectare a portului de inspir cu camera de umidificare cu diametrele capetelor unul de 22F al doilea 22F
2. camera de umidificare cu umplere automată pentru pacient adult cu porturi de conectare 22M cu diametrul suportului de 120 mm proiectat cu margina de 4 mm pentru fixarea în umidificator, 
3. circuit de ventilare cu port de 22F pentru conectarea la camera de umidificare, cu fir de incalzire de standard pentru circuite de unica utilizare, cu 2 porturi de 7.6 mm pentru sensorul de temperatura, unul amplasat la ieșirea din camerea de umidificare al doilea lînga piesa Y pe linia de inspir, capcana de condens, detașabilă amplasată pe linia de expir, și diametrul de fixare la portul de expir al ventilatorului de 22F
</t>
  </si>
  <si>
    <t>Canula nazala</t>
  </si>
  <si>
    <t>Canula nazala, neonatal, S</t>
  </si>
  <si>
    <t xml:space="preserve">Canula nazala pentru pacient nou nascut, pentru terapia cu flux inalt, de unica utilizare, cu conexiune de 22 mm la circuit de pacient, rata de flux administrată 4 - 9 L/min, dimensiune a interfeței nazale mărime S, cu fixator pe cap inclus în set. </t>
  </si>
  <si>
    <t>Canula nazala, neonatal, M</t>
  </si>
  <si>
    <t xml:space="preserve">Canula nazala pentru pacient nou nascut, pentru terapia cu flux inalt, de unica utilizare, cu conexiune de 22 mm la circuit de pacient, rata de flux administrată 4 - 9 L/min, dimensiune a interfeței nazale mărime M, cu fixator pe cap inclus în set. </t>
  </si>
  <si>
    <t>Canula nazala, neonatal, L</t>
  </si>
  <si>
    <t>anula nazala pentru pacient nou nascut, pentru terapia cu flux inalt, de unica utilizare, cu conexiune de 22 mm la circuit de pacient, rata de flux administrată 4 - 9 L/min, dimensiune a interfeței nazale mărime L, cu fixator pe cap inclus în set.</t>
  </si>
  <si>
    <t>Filtru respirator</t>
  </si>
  <si>
    <t>Filtru HME respirator, nou născut</t>
  </si>
  <si>
    <t>Filtru respiratorii pentru pacient nou născut, cu returnare de umiditate și căldură, spațiu mort maxim 9 ml, rata de filtrare minim 99.99 %, Metoda de filtrare electrostatică, rezistența la flux de aer maxim 1,5 mbar la 15 l/min. Certificat de calitate pentru dispozitive medicale 93/42 sau 2017/745 și certificat ISO 13485.</t>
  </si>
  <si>
    <t xml:space="preserve">Filtru respiratorii pentru pacient nou născut, cu returnare de umiditate și căldură, spațiu mort maxim 9-11 ml (, rata de filtrare minim 99.99 %, Metoda de filtrare electrostatică, rezistența la flux de aer maxim 1,5 mbar la 15 l/min. </t>
  </si>
  <si>
    <t>Filtru pentru protecția dispozitivului de ventilare</t>
  </si>
  <si>
    <t>Filtru hepa pentru protejarea dispozitivului ventilator cu port luer-lock, spatiu mort maxim 90 ml, rata de filtrare minim 99.999 %, rezistenta la flux de aer maxim 1,3 mbar la 30 l/min, conector pentru dispozitiv 22F/15M pentru pacient 22M/15F. Certificat de calitate pentru dispozitive medicale 93/42 sau 2017/745 și certificat ISO 13485.</t>
  </si>
  <si>
    <t>Filtru hepa pentru protejarea dispozitivului ventilator cu port luer-lock, spatiu mort maxim 90 ml, rata de filtrare minim 99.999 %, rezistenta la flux de aer maxim 1,3 mbar la 30 l/min, conector pentru dispozitiv 22F/15M pentru pacient 22M/15F.</t>
  </si>
  <si>
    <t>Manșetă NIBP</t>
  </si>
  <si>
    <t>Manșetă NIBP, nou nascut, nr 2</t>
  </si>
  <si>
    <t>Manșetă pentru monitorizare NIBP pentru pacient nou nascut, mărime nr. 2, cu un tub, de unică utilizare, cu conector de conectare la tubul de interconectare de tip conic din plastic. Certificat de calitate pentru dispozitive medicale 93/42 sau 2017/745 și certificat ISO 13485.</t>
  </si>
  <si>
    <t>Manșetă pentru monitorizare NIBP pentru pacient nou nascut, mărime nr. 2, cu un tub, de unică utilizare, cu conector de conectare la tubul de interconectare de tip conic din plastic.</t>
  </si>
  <si>
    <t>Manșetă NIBP, nou nascut, nr 3</t>
  </si>
  <si>
    <t>Manșetă pentru monitorizare NIBP pentru pacient nou nascut, mărime nr. 3, cu un tub, de unică utilizare, cu conector de conectare la tubul de interconectare de tip conic din plastic. Certificat de calitate pentru dispozitive medicale 93/42 sau 2017/745 și certificat ISO 13485.</t>
  </si>
  <si>
    <t xml:space="preserve">Manșetă pentru monitorizare NIBP pentru pacient nou nascut, mărime nr. 3, cu un tub, de unică utilizare, cu conector de conectare la tubul de interconectare de tip conic din plastic. </t>
  </si>
  <si>
    <t>Manșetă NIBP, nou nascut, nr 4</t>
  </si>
  <si>
    <t>Manșetă pentru monitorizare NIBP pentru pacient nou nascut, mărime nr. 4, cu un tub, de unică utilizare, cu conector de conectare la tubul de interconectare de tip conic din plastic. Certificat de calitate pentru dispozitive medicale 93/42 sau 2017/745 și certificat ISO 13485.</t>
  </si>
  <si>
    <t xml:space="preserve">Manșetă pentru monitorizare NIBP pentru pacient nou nascut, mărime nr. 4, cu un tub, de unică utilizare, cu conector de conectare la tubul de interconectare de tip conic din plastic. </t>
  </si>
  <si>
    <t>Manșetă NIBP, nou nascut, nr 5</t>
  </si>
  <si>
    <t>Manșetă pentru monitorizare NIBP pentru pacient nou nascut, mărime nr. 5,  cu un tub, de unică utilizare, cu conector de conectare la tubul de interconectare de tip conic din plastic. Certificat de calitate pentru dispozitive medicale 93/42 sau 2017/745 și certificat ISO 13485.</t>
  </si>
  <si>
    <t xml:space="preserve">Manșetă pentru monitorizare NIBP pentru pacient nou nascut, mărime nr. 5,  cu un tub, de unică utilizare, cu conector de conectare la tubul de interconectare de tip conic din plastic. </t>
  </si>
  <si>
    <t>Manșetă NIBP, pediatrică, 10-19, reutilizabilă</t>
  </si>
  <si>
    <t>Manșetă pentru monitorizare NIBP pentru pacient pediatric, mărime 6 - 11 cm, cu un tub, de multiplă  utilizare. Certificat de calitate pentru dispozitive medicale 93/42 sau 2017/745 și certificat ISO 13485.</t>
  </si>
  <si>
    <t>Manșetă pentru monitorizare NIBP pentru pacient pediatric, mărime 6 - 11 cm, cu un tub, de multiplă  utilizare.</t>
  </si>
  <si>
    <t>Manșetă NIBP, pediatrică, 6-11, reutilizabilă</t>
  </si>
  <si>
    <t>Manșetă pentru monitorizare NIBP pentru pacient pediatric, mărime 10 - 19 cm, cu un tub, de multiplă  utilizare. Certificat de calitate pentru dispozitive medicale 93/42 sau 2017/745 și certificat ISO 13485.</t>
  </si>
  <si>
    <t xml:space="preserve">Manșetă pentru monitorizare NIBP pentru pacient pediatric, mărime 10 - 19 cm, cu un tub, de multiplă  utilizare. </t>
  </si>
  <si>
    <t>Manșetă NIBP, pediatrică, 18-26, reutilizabilă</t>
  </si>
  <si>
    <t>Manșetă pentru monitorizare NIBP pentru pacient pediatric, mărime 18 - 26 cm, cu un tub, de multiplă  utilizare. Certificat de calitate pentru dispozitive medicale 93/42 sau 2017/745 și certificat ISO 13485.</t>
  </si>
  <si>
    <t>Manșetă pentru monitorizare NIBP pentru pacient pediatric, mărime 18 - 26 cm, cu un tub, de multiplă  utilizare.</t>
  </si>
  <si>
    <t>Manșetă NIBP, pediatrică, 25-35, reutilizabilă</t>
  </si>
  <si>
    <t>Manșetă pentru monitorizare NIBP pentru pacient pediatric, mărime 25 - 35 cm, cu un tub, de multiplă  utilizare. Certificat de calitate pentru dispozitive medicale 93/42 sau 2017/745 și certificat ISO 13485.</t>
  </si>
  <si>
    <t>Manșetă pentru monitorizare NIBP pentru pacient pediatric, mărime 25 - 35 cm, cu un tub, de multiplă  utilizare.</t>
  </si>
  <si>
    <t>Filtru pentru aspirator de fum</t>
  </si>
  <si>
    <t xml:space="preserve">Filtru pentru aspirator de fum LED Surtron Evac </t>
  </si>
  <si>
    <t xml:space="preserve">Filtru diametrele conexiunii 22F - 22M, compatibil cu aspirator de fum LED Surtron Evac </t>
  </si>
  <si>
    <t>Filtru pentru aspirator</t>
  </si>
  <si>
    <t>Filtru pentru aspirator chirurgical</t>
  </si>
  <si>
    <t>Filtru pentru aspirator chirurgical, antibacterial și antiviral, hidrofob, de unică utilizare. Certificat de calitate pentru dispozitive medicale 93/42 sau 2017/745 și certificat ISO 13485.</t>
  </si>
  <si>
    <t>Filtru pentru aspirator chirurgical, antibacterial și antiviral, hidrofob, de unică utilizare.</t>
  </si>
  <si>
    <t>Tuburi pentru screening audiologic</t>
  </si>
  <si>
    <t>Tuburi pentru screening audiologic Maico Diagnostics Ero Scan</t>
  </si>
  <si>
    <t xml:space="preserve">Set de tuburi sondă 100 buc și clește 1 buc pentru aparatul de screening auditiv Maico Diagnostics Ero Scan </t>
  </si>
  <si>
    <t>Olive pentru screening audiologic</t>
  </si>
  <si>
    <t xml:space="preserve">Olive pentru screening audiologic Maico Diagnostics Ero Scan </t>
  </si>
  <si>
    <t xml:space="preserve">Set de olive 3 - 5 mm 100 buc,pentru aparatul de screening auditiv Maico Diagnostics Ero Scan </t>
  </si>
  <si>
    <t xml:space="preserve">CAPDM-C </t>
  </si>
  <si>
    <t xml:space="preserve">Olive pentru screening audiologic
Maico Diagnostics Ero Scan </t>
  </si>
  <si>
    <t xml:space="preserve">Set de olive pentru nou nascuti infant preemie mm 100 buc, pentru aparatul de screening auditiv Maico Diagnostics Ero Scan </t>
  </si>
  <si>
    <t>Hârtie ECG</t>
  </si>
  <si>
    <t>Hârtie milimetrică p/u ECG, termosensibila 80mm x 25m,  Beneheart R3 Mindray</t>
  </si>
  <si>
    <t>Hârtie termosensibila cu grila, dimensiuni 80 mm x 25 m, tip rola, compatibil cu ECG Mindray Beneheart R3</t>
  </si>
  <si>
    <t>Hârtie milimetrică p/u ECG, termosensibila 112mm x 25m,  ECG Aspel AsGard Grey</t>
  </si>
  <si>
    <t>Hârtie termosensibila cu grila, dimensiuni 112 mm x 25 m, tip rola, compatibil cu ECG Aspel AsGard Grey</t>
  </si>
  <si>
    <t xml:space="preserve">Set tuburi gofrate pentruaparat de anestezie (nou-născuți-copii)                 </t>
  </si>
  <si>
    <t xml:space="preserve">Set tuburi gofrate pentru aparat de anestezie (nou-născuți-copii)                 </t>
  </si>
  <si>
    <t>Circuit de respirație pentru conectarea pacientului la aparat de anestezie și ventilatoare; Reversibil, configurabil, pliant, extensibil; Pentru nou-născuți și copii; Diametru 15 mm; Lungimea 1,6 m; Adaptor unghiular cu port Luer-Lock; Conexiune adaptor 22M/15F; Conexiunea furtunilor 22F; Material polipropilenă, polietilenă, elastomer; Fără latex; Ambalaj individual; Steril</t>
  </si>
  <si>
    <t>Manșeta NIBP Small adult (pentru măsurarea neinvasivă a tensiunei arteriale) 17-25 cm  (braț)</t>
  </si>
  <si>
    <t xml:space="preserve">1. Cu un canal, un tub cu conector la furtun NIBP compatibil cu monitoarele din cadrul instituției (primit din donație): Drager Infiniti Vista, NIHON KOHDEN MU-671RK, Mindray IPM15. 2.Mărimea 17-25 cm. 3.Reutilizabile. 4.Rezistente la agenți chimici, permit dezinfectarea chimică. 5. Material nylon, și poliuretan                                      </t>
  </si>
  <si>
    <t xml:space="preserve">1. Cu un canal, un tub cu conector la furtun NIBP compatibil cu monitoarele din cadrul instituției (primit din donație): Drager Infiniti Vista, NIHON KOHDEN MU-671RK, Mindray IPM15. 2.Mărimea 17-25 cm. 3.Reutilizabile. 4.Materil nylon sau poliuretan sau material echivalent   
tip pacient: Adult mic ( Small adult)                             </t>
  </si>
  <si>
    <t>Manșeta NIBP Chid  (pentru măsurarea neinvasivă a tensiunei arteriale) 12-19 cm  (braț)</t>
  </si>
  <si>
    <t>1. Cu un canal, un tub cu conector la furtun NIBP compatibil cu monitoarele din cadrul instituției (primit din donație): Drager Infiniti Vista, NIHON KOHDEN MU-671RK, Mindray IPM15. 2.Mărimea 12-19 cm. 3.Reutilizabile. 4.Rezistente la agenți chimici, permit dezinfectarea chimică. 5. Material nylon, și poliuretan</t>
  </si>
  <si>
    <t xml:space="preserve">1. Cu un canal, un tub cu conector la furtun NIBP compatibil cu monitoarele din cadrul instituției (primit din donație): Drager Infiniti Vista, NIHON KOHDEN MU-671RK, Mindray IPM15. 2.Mărimea 12-19 cm. 3.Reutilizabile. 4.Materil nylon sau poliuretan sau material echivalent 
tip pacient: Pediatric ( Child)                                         </t>
  </si>
  <si>
    <t>Manșeta NIBP Infant (pentru măsurarea neinvasivă a tensiunei arteriale) 8-13 cm  (braț)</t>
  </si>
  <si>
    <t>1. Cu un canal, un tub cu conector la furtun NIBP compatibil cu monitoarele din cadrul instituției (primit din donație): Drager Infiniti Vista, NIHON KOHDEN MU-671RK, Mindray IPM15. 2.Mărimea 8-13 cm. 3.Reutilizabile. 4.Rezistente la agenți chimici, permit dezinfectarea chimică. 5. Material nylon, și poliuretan</t>
  </si>
  <si>
    <t xml:space="preserve">1. Cu un canal, un tub cu conector la furtun NIBP compatibil cu monitoarele din cadrul instituției (primit din donație): Drager Infiniti Vista, NIHON KOHDEN MU-671RK, Mindray IPM15. 2.Mărimea 8-13 cm. 4.Materil nylon sau poliuretan sau material echivalent  
tip pacient: Nou născut ( Infant)                                     </t>
  </si>
  <si>
    <t>Hîrtie milimetrică p/u ECG, termosensibilă 50-2-100 mm, tip pliată</t>
  </si>
  <si>
    <t>Hîrtie milimetrică p/u ECG, termosensibilă 50-2-100 mm, tip pliată compatibil cu cardiomonitorul NIHON KOHDEN (MU-671 RK), tip Evertrace heat sensivite paper, model FQW50-2-100</t>
  </si>
  <si>
    <t>Hîrtie milimetrică p/u ECG, termosensibilă 50-2-100 mm, tip pliată compatibil cu cardiomonitorul NIHON KOHDEN (MU-671 RK),  echivalent cu tip Evertrace heat sensivite paper, model FQW50-2-100</t>
  </si>
  <si>
    <t>IMSP INSTITUTUL ONCOLOGIC</t>
  </si>
  <si>
    <t>Test Bowie &amp; Dick</t>
  </si>
  <si>
    <t>Pachetul test de unica folosinta BowieDick, asigura securitate maxima monitorizarii sterilizarii.
2.Se poate aprecia usor corectitudinea evacuarii aerului precum si asigurarea cantitatii corespunzatoare a aburului (concentratie non-critica a gazelor inerte).</t>
  </si>
  <si>
    <t>Agent de sterilizare (H2O2)RENO   S-90</t>
  </si>
  <si>
    <t>Agent de sterilizare (H2O2)RENO   S-90, ambalaj-cartuș, compatibilă cu sterilizatorul RENO S-90</t>
  </si>
  <si>
    <t xml:space="preserve">Test indicator chimic </t>
  </si>
  <si>
    <t>Test indicator chimic, RENO S-90</t>
  </si>
  <si>
    <t>Test indicator chimic de tip bandă, 250 buc/set,compatibilă cu sterilizatorul RENO S-90</t>
  </si>
  <si>
    <t>Test indicator biologic</t>
  </si>
  <si>
    <t>Test indicator biologic, RENO S-90</t>
  </si>
  <si>
    <t>Test indicator biologic,compatibilă cu sterilizatorul RENO S-90</t>
  </si>
  <si>
    <t>Rulou pungă pentru sterilizarea cu  plasma 100mm x 70</t>
  </si>
  <si>
    <t>Role pentru sterilizare 100mm x 70m, RENO S-90</t>
  </si>
  <si>
    <t>Rulou pungă pentru sterilizarea cu  plasma 100mm x 70,compatibilă cu sterilizatorul RENO S-90</t>
  </si>
  <si>
    <t>Rulou pungă pentru sterilizarea cu  plasma 150mm x 70</t>
  </si>
  <si>
    <t>Role pentru sterilizare 150mm x 70m, RENO S-90</t>
  </si>
  <si>
    <t>Rulou pungă pentru sterilizarea cu  plasma 150mm x 70,compatibilă cu sterilizatorul RENO S-90</t>
  </si>
  <si>
    <t>Rulou pungă pentru sterilizarea cu  plasma 200mm x 70</t>
  </si>
  <si>
    <t>Role pentru sterilizare 200mm x 70m, RENO S-90</t>
  </si>
  <si>
    <t>Rulou pungă pentru sterilizarea cu  plasma 200mm x 70,compatibilă cu sterilizatorul RENO S-90</t>
  </si>
  <si>
    <t>Ulei siliconic pentru endoscoape</t>
  </si>
  <si>
    <t>fl.</t>
  </si>
  <si>
    <t>Pelicula radiologica</t>
  </si>
  <si>
    <t xml:space="preserve"> Film radiologic 35 x 43 cm  (14 x 17 inch) echivalent cu SDS,  Konica Minolta </t>
  </si>
  <si>
    <t>Pelicula radiologica SD-S 35x43cm, N125, A76J Konica</t>
  </si>
  <si>
    <t xml:space="preserve"> Film radiologic 35 x 43 cm  (14 x 17 inch) echivalent cu SDS,  Konica Minolta 
ambalaj până la 125 bucăți în cutie  </t>
  </si>
  <si>
    <t>cut</t>
  </si>
  <si>
    <t>Gel USG</t>
  </si>
  <si>
    <t>Gel USG PoliSonic ABUS sistem consumabil 5 litre</t>
  </si>
  <si>
    <t>lit</t>
  </si>
  <si>
    <t>Seringi getabile</t>
  </si>
  <si>
    <t>Set seringă pentru substanța de contrast, 200ml+100ml, NEMOTO</t>
  </si>
  <si>
    <t>Disposable Syringe KIT 200ml+100ml pentru injectomat  NEMOTO</t>
  </si>
  <si>
    <t>Hârtie scanner pentru printerul de la mașini de serilizare ETD4</t>
  </si>
  <si>
    <t>Compatibil cu printer Thermal Transfer OD5+E</t>
  </si>
  <si>
    <t>Teste-indicator sterilizare 121/15 min</t>
  </si>
  <si>
    <t>Indicator pentru controlul calității sterilizării la 121 grade 15 min, numărul de până la 1000 teste pe bază adezivă, clasa 4, cu virarea culorii indicatorului. Termen de valabilitate nu mai puțin de 24 luni, instrucțiuni de utilizare în limba română cu registru.</t>
  </si>
  <si>
    <t xml:space="preserve">Indicator pentru controlul calității sterilizării la 121 grade 15 min, numărul de până la 1000 teste pe bază adezivă, clasa 4, cu virarea culorii indicatorului. Termen de valabilitate nu mai puțin de 24 luni, instrucțiuni de utilizare în limba română cu registru.
Registru aprobat de M.S al RM, Ord nr 828 din 31.10.2011 F257/e. </t>
  </si>
  <si>
    <t>Test</t>
  </si>
  <si>
    <t>Teste-indicator sterilizare 180/60 min extern</t>
  </si>
  <si>
    <t>Indicator pentru controlul calității sterilizării la 180 grade extern, numărul de până la 1000 teste pe bază adezivă, clasa 4, cu virarea culorii indicatorului. Termen de valabilitate nu mai puțin de 24 luni, instrucțiuni de utilizare în limba română cu registru.</t>
  </si>
  <si>
    <t xml:space="preserve">Indicator pentru controlul calității sterilizării la 180 grade extern, numărul de până la 1000 teste pe bază adezivă, clasa 4, cu virarea culorii indicatorului. Termen de valabilitate nu mai puțin de 24 luni, instrucțiuni de utilizare în limba română cu registru.
Registru aprobat de M.S al RM, Ord nr 828 din 31.10.2011 F257/e. </t>
  </si>
  <si>
    <t>test</t>
  </si>
  <si>
    <t>Set rezectoscop monopolar</t>
  </si>
  <si>
    <t xml:space="preserve">Resectoscop monopolar, setul include telescop cu diametrul de 4mm, lungimea intre 300-310mm, unghiul de vedere 30 grade compatibila cu endocam logic hd 3CCD HDTV camera head si fibra optică insclusa compatibila cu sursa de lumina Endolight Highlight x300, teaca externa grosimea 26 Fr., teaca interna, obturator, partea activă de lucru impreuna cu un cablu mopolar compatibil cu electrocuagulatorul Bowa ARC 350. In set cu 6 anse monopolare de taiere 24Fr., bucla rotunda, culoarea galbenă, și 2 anse de coagulare monopolare tip minge </t>
  </si>
  <si>
    <t>Set Rezectoscop bipolar</t>
  </si>
  <si>
    <t>Resectoscop bipolar, setul include telescop cu diametrul de 4mm, lungimea intre 300-310mm, unghiul de vedere 30 grade compatibila cu endocam logic hd 3CCD HDTV camera head si fibra optică inclusă compatibila cu sursa de lumina Endolight Highlight x300, teaca externa grosimea 26 Fr., teaca interna, obturator, partea activă de lucru împreună cu un cablu bipolar compatibil cu electrocuagulatorul Bowa ARC 350. In set cu 6 anse bipolare de taiere 24Fr., 6 anse bipolare de vaporizare (half-moon) 24 Fr.</t>
  </si>
  <si>
    <t>Litotriptor tip Punch</t>
  </si>
  <si>
    <t>Litotriptor tip Punch 24 Fr., setul include partea activă de lucru punch lithotripsy, teaca pentru litotriptor cu robinet cu tuburi flux-reflux și obturatorul,  compatibil telescoapele de 30 grade pentru endocam logic hd 3CCD HDTV camera head si fibră optica pentru Endolight Highlight x300</t>
  </si>
  <si>
    <t>Set Uretrotom</t>
  </si>
  <si>
    <t>Uretrotom, setul include Elementul de lucru, mișcarea prin intermediul unui arc, suportul degetului mare mobil, înpoziția de repaos vârful electrodului este în interiorul tecii. Teacă pentru uretrotom SACHSE, 21 Fr., cu canal pentru bugie FILIFORM și 2 conuri LUER-Lock”. Telescop direct HOPKINS® 0°, vedere mărită, ø 4 mm. Obturator, pentru teaca uretrotomului, 21 Fr.  Pod telescop, cu canal pentru instrumente de până la 5 Fr.,  cuțit SACHSE Cold Knife, drept.</t>
  </si>
  <si>
    <t>IMSP POLICLINICA DE STAT</t>
  </si>
  <si>
    <t>Tub bactericid 30 WT</t>
  </si>
  <si>
    <t xml:space="preserve">Domeniu de utilizare: Dezinfecția aerului și suprafețelor; Fără ozon: Da; Conținut mic de Hg (Mercur): Da; Timp nominal de funcționare: 9000…11000 h; Funcționare la lungimea de undă 253,7...254nm: Da; Putere nominală: 30W; Soclu: G13; Timp de ieșire la parametrii de funcționare: 30...60 s; Lungime tub: 907...910 mm; Diametru: 25...26 mm; Masa: 100...150 g; Tip tub: T8/T26; Puterea de iradiere la 254 nm: 11,5...12,6 W; Tensiune rețea: 220 - 240 V; </t>
  </si>
  <si>
    <t>IMSP SPITALUL CLINIC DE TRAUMATOLOGIE SI ORTOPEDIE</t>
  </si>
  <si>
    <r>
      <t>Manjeta pentru tonometru</t>
    </r>
    <r>
      <rPr>
        <sz val="11"/>
        <color rgb="FF000000"/>
        <rFont val="Times New Roman"/>
        <family val="1"/>
        <charset val="204"/>
      </rPr>
      <t xml:space="preserve">  .</t>
    </r>
  </si>
  <si>
    <r>
      <t>Manjeta pentru tonometru</t>
    </r>
    <r>
      <rPr>
        <sz val="11"/>
        <color rgb="FF000000"/>
        <rFont val="Times New Roman"/>
        <family val="1"/>
        <charset val="204"/>
      </rPr>
      <t xml:space="preserve">  . Dimensiuni 32-42 cm . Compatibila cu toate modelele de tensiometre manuale. Cerificat CE sau declarație de conformitate în funcție de evaluarea conformității cu anexele corespunzătoare pentru produsul dat. Cerificat ISO 13485 ți/sau ISO 9001(în dependență de categoria produsului)</t>
    </r>
  </si>
  <si>
    <t xml:space="preserve">bucata </t>
  </si>
  <si>
    <t>Hîrtie termo pentru printer autoclav</t>
  </si>
  <si>
    <t>Hîrtie termică pentru videoprint  autoclav;  demensiunile 55 mm x 10 m., tip hîrtie pliată , culoare  alba., compatibil cu autoclavul model mod. XG1.UCD-100D, prod. Shinva, China.  Prezentarea mostrelor. Cerificat CE sau declarație de conformitate în funcție de evaluarea conformității cu anexele corespunzătoare pentru produsul dat. Cerificat ISO 13485 ți/sau ISO 9001(în dependență de categoria produsului)</t>
  </si>
  <si>
    <t xml:space="preserve">Sensor SpO2 tip clește adult reutilizabil integrat compatibil cu monitor model BMO210D, Mindray </t>
  </si>
  <si>
    <t>Sensor SpO2 tip clește adult reutilizabil integrat compatibil cu monitor , model BMO210D, Mindray, China</t>
  </si>
  <si>
    <t>Sensor SpO2 tip clește adult reutilizabil integrat compatibil cu monitor model MEC2000, Germania</t>
  </si>
  <si>
    <t>Sensor SpO2 tip clește adult reutilizabil integrat compatibil cu monitor, model JR200D, Mindray China, MEC2000, Germania</t>
  </si>
  <si>
    <t>Sensor SpO2 tip clește adult reutilizabil integrat compatibil cu monitor model iM8 Edan, China</t>
  </si>
  <si>
    <t>Sensor SpO2 tip clește adult reutilizabil integrat compatibil cu monitor, model iM8 Edan, China</t>
  </si>
  <si>
    <t>Manșeta NIBP adulți (pentru masurarea neinvaziva a tensiunii arteriale) 34-43 cm</t>
  </si>
  <si>
    <t xml:space="preserve">1. Cu un canal, un tub cu conector la furtun NIBP compatibil cu monitorele din cadrul instituției (BMO210D, Mindray, China) 2. Marimea 34-43 cm. 3. Reutilizabile
4. Rezistente la agenti chimici, permit dezinfectia chimica
5.   Material nylon si poliuretan
</t>
  </si>
  <si>
    <t xml:space="preserve">1. Cu un canal, un tub cu conector la furtun NIBP compatibil cu monitorele din cadrul instituției (BMO210D, Mindray, China) 2. Marimea 34-43 cm. 3. Reutilizabile
4. Materil nylon sau poliuretan sau material echivalent
tip pacient adult
</t>
  </si>
  <si>
    <t>Filtre pentru aspirator</t>
  </si>
  <si>
    <t>Filtre pentru aspirator chirurgical, SA01HT, Elmasar</t>
  </si>
  <si>
    <t xml:space="preserve">Filtre pentru aspirator chirurgical, de unică folosință, compatibil cu aspiratorul chirurgical  mod. SA01HT (Elmasar Medikal, Turcia)  </t>
  </si>
  <si>
    <t>Filtre pentru sistema centralizată de aer vacum (aspirație )</t>
  </si>
  <si>
    <t>Filtre p/u sistema centralizată de aer vacum (aspirație )</t>
  </si>
  <si>
    <t xml:space="preserve">Electrod tip lama (balde), pentru chirurgie generala </t>
  </si>
  <si>
    <t>Electrod tip lama (balde), de unica folosința</t>
  </si>
  <si>
    <t>Electrod tip lama (balde), pt. chirurgie generala (sterile, de unica folosință) diametru - min. 2,4 mm. Lungime - 7,0 cm</t>
  </si>
  <si>
    <t>Electrod pasiv (neutru) din silicon reutilizabil  , adult /Diatermo 300, Gima</t>
  </si>
  <si>
    <r>
      <t>Electrod pasiv din silicon reutilizabil cu cablu min. 2,5 m, adult , compatibil cu electrocoagulator mod. Diatermo 300, Gima</t>
    </r>
    <r>
      <rPr>
        <sz val="11"/>
        <rFont val="Times New Roman"/>
        <family val="1"/>
        <charset val="204"/>
      </rPr>
      <t xml:space="preserve">. Material – cauciuc siliconic conductor (flexibil),   Autoclavabil </t>
    </r>
  </si>
  <si>
    <r>
      <t>Electrod pasiv din silicon reutilizabil, adult /</t>
    </r>
    <r>
      <rPr>
        <sz val="11"/>
        <rFont val="Times New Roman"/>
        <family val="1"/>
        <charset val="204"/>
      </rPr>
      <t xml:space="preserve"> Shalya Sigma 400, XL MTP, India</t>
    </r>
  </si>
  <si>
    <r>
      <t xml:space="preserve">Electrod pasiv din silicon reutilizabil cu cablu min 2,5 m, adult , compatibil cu electrocoagulatorul, mod. </t>
    </r>
    <r>
      <rPr>
        <sz val="11"/>
        <rFont val="Times New Roman"/>
        <family val="1"/>
        <charset val="204"/>
      </rPr>
      <t>Shalya Sigma 400,  India. Material – cauciuc siliconic conductor (flexibil),   Autoclavabil</t>
    </r>
  </si>
  <si>
    <r>
      <t>Electrod pasiv din silicon reutilizabil, adult /</t>
    </r>
    <r>
      <rPr>
        <sz val="11"/>
        <rFont val="Times New Roman"/>
        <family val="1"/>
        <charset val="204"/>
      </rPr>
      <t xml:space="preserve"> Surtron 300HP LED, Italia</t>
    </r>
  </si>
  <si>
    <r>
      <t xml:space="preserve">Electrod pasiv din silicon reutilizabil cu cablu min. 2,5m , adult , compatibil cu electrocoagulatorul, mod </t>
    </r>
    <r>
      <rPr>
        <sz val="11"/>
        <rFont val="Times New Roman"/>
        <family val="1"/>
        <charset val="204"/>
      </rPr>
      <t>Surtron 300HP , LED, Italia, Material – cauciuc siliconic conductor  (flexibil),     Autoclavabil</t>
    </r>
  </si>
  <si>
    <r>
      <t>Electrod pasiv din silicon reutilizabil, adult /</t>
    </r>
    <r>
      <rPr>
        <sz val="11"/>
        <rFont val="Times New Roman"/>
        <family val="1"/>
        <charset val="204"/>
      </rPr>
      <t xml:space="preserve"> mod. Excel 400 MCDSe/Alsa, Italia</t>
    </r>
  </si>
  <si>
    <r>
      <t xml:space="preserve">Electrod pasiv din silicon reutilizabil cu cablu min. 2,5 m, adult , compatibil cu electrocoagulator,  </t>
    </r>
    <r>
      <rPr>
        <sz val="11"/>
        <rFont val="Times New Roman"/>
        <family val="1"/>
        <charset val="204"/>
      </rPr>
      <t>mod. Excel 400,Alsa, Italia, Material – cauciuc siliconic conductor (flexibil),   Autoclavabil</t>
    </r>
  </si>
  <si>
    <r>
      <t>Electrod pasiv din silicon reutilizabil, adult /</t>
    </r>
    <r>
      <rPr>
        <sz val="11"/>
        <rFont val="Times New Roman"/>
        <family val="1"/>
        <charset val="204"/>
      </rPr>
      <t xml:space="preserve"> mod.FX-8CAS VME, China</t>
    </r>
  </si>
  <si>
    <r>
      <t xml:space="preserve">Electrod pasiv din silicon reutilizabil cu cablu min. 2,5 m, adult , compatibil cu electrocoagulator,  </t>
    </r>
    <r>
      <rPr>
        <sz val="11"/>
        <rFont val="Times New Roman"/>
        <family val="1"/>
        <charset val="204"/>
      </rPr>
      <t>mod.</t>
    </r>
    <r>
      <rPr>
        <sz val="11"/>
        <color rgb="FF000000"/>
        <rFont val="Times New Roman"/>
        <family val="1"/>
        <charset val="204"/>
      </rPr>
      <t xml:space="preserve"> Force</t>
    </r>
    <r>
      <rPr>
        <sz val="11"/>
        <rFont val="Times New Roman"/>
        <family val="1"/>
        <charset val="204"/>
      </rPr>
      <t xml:space="preserve"> FX-8CAS VME, China, Material – cauciuc siliconic conductor (flexibil),   Autoclavabil</t>
    </r>
  </si>
  <si>
    <t>Sensor de oxygen ventilator Mindray SV300 și SV650</t>
  </si>
  <si>
    <t>Sensori pentru oxygen compatibil cu ventilator Mindray SV300 și SV650, cod de referință MOX3,  cu instalarea în dispozitivul medical</t>
  </si>
  <si>
    <t>Capcana de apa(Water lock) compatibil cu Ventilator Mindray SV 300</t>
  </si>
  <si>
    <t>Capcana de apa(Water lock) utilizata la modulele de CO2 pentru acumularea condensului, din plastic transparent DRYLINE™ II Water Trap System, Adult,  compatibile cu  ventilatoare Mindray SV300</t>
  </si>
  <si>
    <t>Capcana de apa(Water lock) utilizata la modulele de CO2 pentru acumularea condensului, din plastic transparent DRYLINE II Water Trap System, Adult,  compatibile cu  ventilatoare Mindray SV300</t>
  </si>
  <si>
    <t>Sensor de oxygen masina de anestezie WATO EX-65 PRO, Mindray</t>
  </si>
  <si>
    <t xml:space="preserve">Sensori pentru oxygen compatibil cu masina de anestezie Mindray WATO EX-65 PRO, cod de referință MOX2, cu instalarea în dispozitivul medical. </t>
  </si>
  <si>
    <t>Pătură încălzire pacient</t>
  </si>
  <si>
    <t>Pătură încălzire pacient, Mistral-Air MA3360-plus</t>
  </si>
  <si>
    <t xml:space="preserve">Conexiunea păturii să fie compatibilă cu aparatul mod. Mistral-Air, prod. Olanda,T SCNy B.V                                                     Partea superioară (MA3360-plus),    mărimi: 2010*760 mm </t>
  </si>
  <si>
    <t>Pătură încălzire pacient, Mistral-Air MA2265-plus</t>
  </si>
  <si>
    <t>Conexiunea păturii să fie compatibilă cu aparatul mod. Mistral-Air, prod. Olanda,T SCNy B.V       Jumătatea superioară  (MA2265-plus), mărimi: 1600*760 mm</t>
  </si>
  <si>
    <t>Pătură încălzire pacient, Mistral-Air MA2220-plus</t>
  </si>
  <si>
    <t>Conexiunea păturii să fie compatibilă cu aparatul mod. Mistral-Air, prod. Olanda,T SCNy B.V                                                                                                    Adult (MA2220-plus), mărimi: 2270*1330 mm</t>
  </si>
  <si>
    <t>Pătură încălzire pacient, Mistral-Air MA2400-plus</t>
  </si>
  <si>
    <t>Conexiunea păturii să fie compatibilă cu aparatul mod. Mistral-Air, prod. Olanda,T SCNy B.V                                                                        Sub corp complet  (MA2400-plus) , mărimi: 2200*900 mm</t>
  </si>
  <si>
    <t>Film radiologic 35 x 43 cm (14 x 17 inch) compatibil cu Colenta</t>
  </si>
  <si>
    <t>Film radiologic 35 x 43 cm (14 x 17 inch)
ambalaj pînă la 100 bucăți în cutie 
echivalent cu "Mediphot DL", 
compatibil cu Colenta HighCap XP</t>
  </si>
  <si>
    <t xml:space="preserve">Film radiologic 35 x 43 cm (14 x 17 inch)
ambalaj pînă la 100 bucăți în cutie compatibila cu imprimanta  Colenta High CAP XP (dispozitiv de radiodiagnostic digital Dry Laser imaging film DLNL sau DL-ML)
</t>
  </si>
  <si>
    <t>CAPDM-C 007436</t>
  </si>
  <si>
    <t>Film radiologic 20 x 25 cm  (8 x 10 inch) compatibil cu Colenta</t>
  </si>
  <si>
    <t>Film radiologic 20 x 25 cm  (8 x 10 inch)
ambalaj pînă la 150 bucăți în cutie
echivalent cu "Mediphot DL", 
compatibil cu Colenta HighCap XP</t>
  </si>
  <si>
    <t>Film radiologic 20 x 25 cm  (8 x 10 inch)
ambalaj pînă la 150 bucăți în cutie
compatibila cu imprimanta  Colenta High CAP XP (dispozitiv de radiodiagnostic digital Dry Laser imaging film DLNL sau DL-ML)</t>
  </si>
  <si>
    <t>CAPDM-C 006998</t>
  </si>
  <si>
    <t>Container pentru terapie VAC</t>
  </si>
  <si>
    <t>Recipient  cu gel, tub, clemă și conector de 500 ml pentru sistemele de terapie Info V.A.C. Cerificat CE sau declarație de conformitate în funcție de evaluarea conformității cu anexele corespunzătoare pentru produsul dat. Cerificat ISO 13485 ți/sau ISO 9001(în dependență de categoria produsului).</t>
  </si>
  <si>
    <t>Recipient  cu gel, tub, clemă și conector de 500 ml pentru sistemele de terapie Info V.A.C. Cerificat CE sau declarație de conformitate în funcție de evaluarea conformității cu anexele corespunzătoare pentru produsul dat. Cerificat ISO 13485 ți/sau ISO 9001(în dependență de categoria produsului). Compatibil cu aparatul existent  INFOVAC, KCI  și conexiune cu pansamentul. Termen de valabilitate min. 24 luni</t>
  </si>
  <si>
    <t>Set de pansamente cu continut de argint pentru terapie VAC, Large</t>
  </si>
  <si>
    <t>Pansament cu conținut  de argint,  steril ,de unica folosință , utilizat în sistemele de terapie cu presiune negativă la nivelul plăgilor. Setul conține :Un pansament din spumă poliuretanică (24 -27 x 14-16 x 3-4  cm) , două  câmpuri adezive.  Tubulatură de conexiune la compatibilitatea  recipientului de colectare. Cerificat CE sau declarație de conformitate în funcție de evaluarea conformității cu anexele corespunzătoare pentru produsul dat. Cerificat ISO 13485 ți/sau ISO 9001(în dependență de categoria produsului). Termen de valabilitate min. 24 luni</t>
  </si>
  <si>
    <t>Set de pansamente cu continut de argint pentru terapie VAC, Medium</t>
  </si>
  <si>
    <t>Pansament cu conținut  de argint,  steril ,de unica folosință , utilizat în sistemele de terapie cu presiune negativă la nivelul plăgilor. Setul conține :Un pansament din spumă poliuretanică (17-19 x 11-13,5 x 3-4 cm) , două  câmpuri adezive. Tubulatură de conexiune la compatibilitatea  recipientului de colectare.  Cerificat CE sau declarație de conformitate în funcție de evaluarea conformității cu anexele corespunzătoare pentru produsul dat. Cerificat ISO 13485 ți/sau ISO 9001(în dependență de categoria produsului). Termen de valabilitate min. 24 luni</t>
  </si>
  <si>
    <t>Set de pansamente cu continut de argint pentru terapie VAC, Small</t>
  </si>
  <si>
    <t>Pansament cu conținut de argint,  steril ,de unica folosință , utilizat în sistemele de terapie cu presiune negativă la nivelul plăgilor. Setul conține :Un pansament din spumă poliuretanică (9-11 x 6-8,5 x 3-4 cm), un câmp adeziv. Tubulatură de conexiune la compatibilitatea  recipientului de colectare.  Cerificat CE sau declarație de conformitate în funcție de evaluarea conformității cu anexele corespunzătoare pentru produsul dat. Cerificat ISO 13485 ți/sau ISO 9001(în dependență de categoria produsului). Termen de valabilitate min. 24 luni</t>
  </si>
  <si>
    <t>IMSP SPITALUL CLINIC MUNICIPAL SFANTA TREIME</t>
  </si>
  <si>
    <t>Set colbe seringi CT comparativ cu injectomat Medrad</t>
  </si>
  <si>
    <t xml:space="preserve">CT-200/200-A2 200ml +200 ml Y (T)Connecting Tubing;  J Fill Tube; vented spike
Set contine/bucata:
-	Seringa 200 ml
-	Seringa 200ml
-	Tub spiralat
-	Spike </t>
  </si>
  <si>
    <t>Set colbe seringi CT comparativ cu injectomat Nemoto Dual Shot Alpha 7</t>
  </si>
  <si>
    <t xml:space="preserve">TM0539AC 200ml +100 ml Syringes W60’’ coiled Line Y Tube (1 CV)&amp; 2SP
Set contine/bucata:
-	Seringa 200 ml
-	Seringa 100ml
-	Tub spiralat
-	Spike </t>
  </si>
  <si>
    <t xml:space="preserve">Echivalent cu TM0539AC 200ml +100 ml Syringes W60’’ coiled Line Y Tube (1 CV)&amp; 2SP
Set contine/bucata:
-	Seringa 200 ml
-	Seringa 100ml
-	Tub spiralat
-	Spike </t>
  </si>
  <si>
    <t>Lancete ace glicemice + stripuri/teste de control pentru glicemie si Glucometre compatilie</t>
  </si>
  <si>
    <t>Hîrtie pentru sterilizare articolelor medicale, rulou 450mm x 200m</t>
  </si>
  <si>
    <t>Rolă din hîrtie măr.450mmx200m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1140-1 în conformitate cu EN 868-5. Termenul de păstrare a materialului împachetat după sterilizare nu mai mic de 12 luni. Bucată=O rolă</t>
  </si>
  <si>
    <t>Hîrtie pentru sterilizare articolelor medicale, rulou 500mm x 200m</t>
  </si>
  <si>
    <t>Rolă din hîrtie măr.5000mmx200m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1140-1 în conformitate cu EN 868-5. Termenul de păstrare a materialului împachetat după sterilizare nu mai mic de 12 luni. Bucată=O rolă</t>
  </si>
  <si>
    <t>Sare tabletata cristalizata</t>
  </si>
  <si>
    <t>Sare tabletata pentru filtrele masinilor de spalat si de sterilizare.</t>
  </si>
  <si>
    <t>tone</t>
  </si>
  <si>
    <t xml:space="preserve">Husă pentru saltele 200x90 cm </t>
  </si>
  <si>
    <t xml:space="preserve">Husă pentru brancarda 200x60 cm </t>
  </si>
  <si>
    <t xml:space="preserve">Test Bowie-DICK </t>
  </si>
  <si>
    <t>IMSP SPITALUL CLINIC MUNICIPAL SFANTUL ARHANGHEL MIHAIL</t>
  </si>
  <si>
    <t>Cablu pentru ECG MAC800</t>
  </si>
  <si>
    <t>Cablu paciet pentru electrocardiograf. Compatibil cu MAC 800</t>
  </si>
  <si>
    <t>IMSP SPITALUL RAIONAL CAHUL</t>
  </si>
  <si>
    <t>Baterie pentru aparat ECG EDAN SE-1201</t>
  </si>
  <si>
    <t>Cablu de alimentare pentru aparat ECG EDAN SE-1201</t>
  </si>
  <si>
    <t>Cablu pacient p/u electrocardiograf</t>
  </si>
  <si>
    <t>Cablu pacient p/u electrocardiograf Biocare IE 300</t>
  </si>
  <si>
    <t>aparat Biocare IE 300</t>
  </si>
  <si>
    <t>Cablu pacient p/u electrocardiograf
aparat Biocare IE 300</t>
  </si>
  <si>
    <t>Consumabile pentru aparatul CPAP HEYER VS 500S</t>
  </si>
  <si>
    <t>Camere de umedificare +setul de conectare la pacient</t>
  </si>
  <si>
    <r>
      <t xml:space="preserve">Filtru antibactericid de unica folosința  REF A 182- 300-005 </t>
    </r>
    <r>
      <rPr>
        <sz val="11"/>
        <color rgb="FF000000"/>
        <rFont val="Times New Roman"/>
        <family val="1"/>
        <charset val="204"/>
      </rPr>
      <t>pentru spiograf</t>
    </r>
  </si>
  <si>
    <t xml:space="preserve"> spirograf PONY-FX COSMED A182300004</t>
  </si>
  <si>
    <t>Filtru antibactericid de unica folosința  
spirograf PONY-FX COSMED A182300004</t>
  </si>
  <si>
    <t>Hirtie ECG 210 x 295 x 150 file p-u Aparat Eden</t>
  </si>
  <si>
    <t>CAPDM-C 007053</t>
  </si>
  <si>
    <t>Hirtie ECG Cardioline ECG 200L</t>
  </si>
  <si>
    <t>Hirtie ECG Cardioline ECG 200L
200mm x 20m</t>
  </si>
  <si>
    <t>Buc</t>
  </si>
  <si>
    <t>Hîrtie foto- lucioasă glossy A4</t>
  </si>
  <si>
    <t>120 - 165 g/m2</t>
  </si>
  <si>
    <t>Hîrtie foto- lucioasă glossy A4
120 - 165 g/m2</t>
  </si>
  <si>
    <t>Hirtie OtoRead MAICO ERO-SCAN OAE</t>
  </si>
  <si>
    <t>Hirtie imprimanta  pentru audiometru OtoRead MAICO ERO-SCAN OAE</t>
  </si>
  <si>
    <t>Indicatori chimici (TESTE interne)  132</t>
  </si>
  <si>
    <t>Lampa bactericida</t>
  </si>
  <si>
    <t>30W/T8/G13</t>
  </si>
  <si>
    <t>biuc</t>
  </si>
  <si>
    <t xml:space="preserve">      PHILIPS TL -D  36W/BLB lungime 120cm</t>
  </si>
  <si>
    <t>Lancete</t>
  </si>
  <si>
    <t>Pentru glucometru</t>
  </si>
  <si>
    <t>Manșeta NIBP adulți pentru măsurarea neinvazivă a tensiunei arteriale 25x35 cm</t>
  </si>
  <si>
    <t>Manșeta NIBP adulți 25x35 cm</t>
  </si>
  <si>
    <t xml:space="preserve">1. Cu un canal, un tub cu conector la furtun NIBP compatibil cu monitorele din cadrul instituției (Emtel FX 3000)
2. Marimea 25- 35 cm
3. Reutilizabile
4. Rezistente la agenti chimici, permit dezinfectia chimica
5.   Materil nylon si poliuretan
</t>
  </si>
  <si>
    <t>1. Cu un canal, un tub cu conector la furtun NIBP compatibil cu monitorele din cadrul instituției (Emtel FX 3000)
2. Marimea 25- 35 cm
3. Reutilizabile
4. Materil nylon sau poliuretan sau material echivalent</t>
  </si>
  <si>
    <t>Manșeta NIBP adulți pentru măsurarea neinvazivă a tensiunei arteriale 33x47 cm</t>
  </si>
  <si>
    <t>Manșeta NIBP adulți 33x47 cm</t>
  </si>
  <si>
    <t xml:space="preserve">1. Cu un canal, un tub cu conector la furtun NIBP compatibil cu monitorele din cadrul instituției (EmtelFX 3000)
2. Marimea 33x47 cm
3. Reutilizabile
4. Rezistente la agenti chimici, permit dezinfectia chimica
5.   Materil nylon si poliuretan
</t>
  </si>
  <si>
    <t>1. Cu un canal, un tub cu conector la furtun NIBP compatibil cu monitorele din cadrul instituției (EmtelFX 3000)
2. Marimea 33x47 cm
3. Reutilizabile
4. Materil nylon sau poliuretan sau material echivalent</t>
  </si>
  <si>
    <t>Manșeta NIBP adulți pentru măsurarea neinvazivă a tensiunei arteriale 35x55 cm</t>
  </si>
  <si>
    <t>Manșeta NIBP adulți 35x55 cm</t>
  </si>
  <si>
    <t xml:space="preserve">1. Cu un canal, un tub cu conector la furtun NIBP compatibil cu monitorele din cadrul instituției (Emtel FX 3000)
2. Marimea 35x55 cm
3. Reutilizabile
4. Rezistente la agenti chimici, permit dezinfectia chimica
5.   Materil nylon si poliuretan
</t>
  </si>
  <si>
    <t>1. Cu un canal, un tub cu conector la furtun NIBP compatibil cu monitorele din cadrul instituției (Emtel FX 3000)
2. Marimea 35x55 cm
3. Reutilizabile
4. Materil nylon sau poliuretan sau material echivalent</t>
  </si>
  <si>
    <t>Senzor de flux O2 pentru ventilator Hamilton C2</t>
  </si>
  <si>
    <t>Seringi getabile 30 ml</t>
  </si>
  <si>
    <t>Seringi getabile 30 ml
Pentru infuzomat</t>
  </si>
  <si>
    <t>Pentru infuzomat</t>
  </si>
  <si>
    <t>CAPDM-C 007119</t>
  </si>
  <si>
    <t>Set 4 electrozi Tip clema</t>
  </si>
  <si>
    <t>Set electrozi ECG 4 cleste + 6 pare (adult), reutilizabil</t>
  </si>
  <si>
    <t>Uz Adulti</t>
  </si>
  <si>
    <t xml:space="preserve">1. Parte activa a electrodului din Ag/AgCl, 2. set electrozi 4 tip clește (roșu, glaben, verde, negru) + 6 tip pare, 3. tip pacient adult, 4. compatibil cu conectori ECG tip banana de diametru 3 si 4mm. </t>
  </si>
  <si>
    <t>Set 6 Electrozi ECG Precordiali </t>
  </si>
  <si>
    <t>25mm</t>
  </si>
  <si>
    <t>Spacer (camera pentru inhalare), copii</t>
  </si>
  <si>
    <t>IMSP SPITALUL RAIONAL CEADIR-LUNGA</t>
  </si>
  <si>
    <t>Lampa bactericida T8 30 GL ozon FREE</t>
  </si>
  <si>
    <t>pentru 1 Lampa 30 W</t>
  </si>
  <si>
    <t xml:space="preserve">  </t>
  </si>
  <si>
    <t>pentru 1 Lampa 15 W</t>
  </si>
  <si>
    <t xml:space="preserve">Carcasa pentru lampa bactericida pentru 1 Lampa T8 30 </t>
  </si>
  <si>
    <t xml:space="preserve">pentru 1 Lampa T8 30 </t>
  </si>
  <si>
    <t>Duze de unica folosinta pentru spirograful Thor Laboratories</t>
  </si>
  <si>
    <t>diametr 8 cm</t>
  </si>
  <si>
    <t>Duze de unica folosinta pentru spirograful Thor Laboratories
diametr 8 cm</t>
  </si>
  <si>
    <t>IMSP SPITALUL RAIONAL CIMISLIA</t>
  </si>
  <si>
    <t xml:space="preserve">Teste pentru glucometru </t>
  </si>
  <si>
    <t>400 Teste și 400 lancete pentru
măsurarea glicemiei
compatibile cu glucometrul Clever check
sau
400 Teste și 400 lancete pentru
măsurarea glicemiei compatibile cu
alte tipuri de glucometre.
Operatorul economic va furniza
beneficiarului cel puțin 1
glucometre, cu titlu gratuit.</t>
  </si>
  <si>
    <t>IMSP SPITALUL RAIONAL FALESTI</t>
  </si>
  <si>
    <t>Kit de mentenanță anuală compatibil cu mașina de anestezie</t>
  </si>
  <si>
    <t>Kit de mentenanță pentru 1 an  compatibile cu mașina de anestezie  Genesis.</t>
  </si>
  <si>
    <t>SET</t>
  </si>
  <si>
    <t xml:space="preserve">Kit de mentenanță anuală compatibil cu mașina de anestezie </t>
  </si>
  <si>
    <t>Kit de mentenanță pentru 1 an compatibile cu mașina de anestezie  Carestaion 650A1</t>
  </si>
  <si>
    <t>Kit de mentenanță anuală compatibil cu ventilatorul pulmonar</t>
  </si>
  <si>
    <t>Kit de mentenanță pentru 1 an compatibile cu SV650</t>
  </si>
  <si>
    <t xml:space="preserve">Kit de mentenanță pentru 1 an compatibile cu SV300 </t>
  </si>
  <si>
    <t>Kit de mentenanță pentru 1 an compatibile cu Hamilton C1</t>
  </si>
  <si>
    <t>Kit de mentenanță pentru 1 an compatibile cu Boaray 5000D</t>
  </si>
  <si>
    <t>Kit de mentenanță pentru 1 an compatibile cu MV300</t>
  </si>
  <si>
    <t>Furtun pentru Manșetă NIBP</t>
  </si>
  <si>
    <t>BUC</t>
  </si>
  <si>
    <t>Baterie compatibila cu Unitatea radiognostică</t>
  </si>
  <si>
    <t>Baterie compatibila cu Unitatea radiognostică
PRS 500E</t>
  </si>
  <si>
    <t>Baterie compatibilă cu PRS 500E Classic</t>
  </si>
  <si>
    <t>Acumulator de încărcare a bateriei compatibilă cu PRS 500E Classic</t>
  </si>
  <si>
    <t>Senzor de oxigen compatibil cu Ventilator Mindray SV 650</t>
  </si>
  <si>
    <t xml:space="preserve">Senzor de oxigen MOX3 (9 mV to 13 mV 
in 210 mBar O2),AA829-M10 </t>
  </si>
  <si>
    <t>Senzor de oxigen compatibil cu Ventilator SV 300</t>
  </si>
  <si>
    <t>Senzor de oxigen compatibil cu Ventilator Hamilton C1</t>
  </si>
  <si>
    <t>Medical sensor Oxygen Sensor, REF 396200/01</t>
  </si>
  <si>
    <t>Senzor de oxigen compatibil cu Ventilator Boaray 5000D</t>
  </si>
  <si>
    <t>Sensor de Oxygen compatibil cu Ventilatorul pulmonar Bparay 5000D</t>
  </si>
  <si>
    <t>Senzor de oxigen compatibil cu Ventilator MV 300</t>
  </si>
  <si>
    <t>Sensor de Oxygen compatibil cu Ventilatorul pulmonar</t>
  </si>
  <si>
    <t>Kit de mentenanță anuală compatibil pentru stația de Oxigen</t>
  </si>
  <si>
    <t>Ideal Makina IM GO 200</t>
  </si>
  <si>
    <t>IMSP SPITALUL RAIONAL IALOVENI</t>
  </si>
  <si>
    <t xml:space="preserve">Accesorii pentru glucometru </t>
  </si>
  <si>
    <t>Teste și lancete pentru
măsurarea glicemiei, On Call Plus</t>
  </si>
  <si>
    <t>Accesorii p/u glucometru (set 50teste+50ace)compatibile cu glucometru  On Call Plus</t>
  </si>
  <si>
    <t>10000 Teste și 10000 lancete pentru
măsurarea glicemiei
compatibile cu glucometrul On Call Plus
sau
10000 Teste și 10000 lancete pentru
măsurarea glicemiei compatibile cu
alte tipuri de glucometre.
Operatorul economic va furniza
beneficiarului cel puțin 10
glucometre, cu titlu gratuit.</t>
  </si>
  <si>
    <t>consumabile pentru dispozitive medicale</t>
  </si>
  <si>
    <t>IMSP SPITALUL RAIONAL SANGEREI</t>
  </si>
  <si>
    <t>Hârtie termosensibilă albă pentru Analizator biochimic semiautomat Stat Fax 3300</t>
  </si>
  <si>
    <t>parametrii 110 mm  x 25 m, tip: rolă
pentru  Stat Fax 3300</t>
  </si>
  <si>
    <t xml:space="preserve">Hârtie termosensibilă albă pentru  Stat Fax 3300 cu parametrii 110 mm  x 25 m, tip: rolă
</t>
  </si>
  <si>
    <t>bucată</t>
  </si>
  <si>
    <t>IMSP SPITALUL RAIONAL UNGHENI</t>
  </si>
  <si>
    <t>CONSUMABIL DM</t>
  </si>
  <si>
    <t>filtru bactericid pentru mustuc cu turbina compatibil cu SPIROGRAF model MIR</t>
  </si>
  <si>
    <t>BUC.</t>
  </si>
  <si>
    <t>comasat cu rind 14</t>
  </si>
  <si>
    <t>AMT CIOCANA</t>
  </si>
  <si>
    <t>Manșeta tensiometru pentru adult obez (pentru masurarea neinvaziva a tensiunii arteriale) 34-51 cm</t>
  </si>
  <si>
    <t>1. Cu un canal, un tub cu conector la furtun NIBP compatibil cu monitorele din cadrul instituției 
2. Marimea 35- 55 cm
3. Reutilizabile
4. Rezistente la agenti chimici, permit dezinfectia chimica
5.   Materil nylon si poliuretan</t>
  </si>
  <si>
    <t>1. Manseta tensiometru pentru adult obez cu două tuburi, compatibilă cu tensiometrele din cadrul instituției (Fazzini, Microlife, Mastermed A1/A1+ etc.)
2. Marimea 34-51 cm
3. Reutilizabile
4. Rezistente la agenti chimici, permit dezinfectia chimica
5.   Materil nylon si poliuretan</t>
  </si>
  <si>
    <t>1. Manseta tensiometru pentru adult obez cu două tuburi, compatibilă cu tensiometrele din cadrul instituției (Fazzini, Microlife, Mastermed A1/A1+ etc.)
2. Marimea 34-51 cm
3. Reutilizabile
4. Materil nylon sau poliuretan sau material echivalent</t>
  </si>
  <si>
    <t>Manseta tensiometru pentru adulti normal (pentru masurarea neinvaziva a tensiunii arteriale)  25-40 cm</t>
  </si>
  <si>
    <t>1. Manseta tensiometru pentru adult obez cu două tuburi, compatibilă cu tensiometrele din cadrul instituției (Fazzini, Microlife, Mastermed A1/A1+ etc.)
2. Marimea 25-40 cm
3. Reutilizabile
4. Rezistente la agenti chimici, permit dezinfectia chimica
5.   Materil nylon si poliuretan</t>
  </si>
  <si>
    <t>1. Manseta tensiometru pentru adult obez cu două tuburi, compatibilă cu tensiometrele din cadrul instituției (Fazzini, Microlife, Mastermed A1/A1+ etc.)
2. Marimea 25-40 cm
3. Reutilizabile
4. Materil nylon sau poliuretan sau material echivalent</t>
  </si>
  <si>
    <t>AMT BOTANICA</t>
  </si>
  <si>
    <t>Termohîrtie, 15m-20m, lățime 57mm, densitatea 55 gr/m2</t>
  </si>
  <si>
    <t>IMSP SPITALUL CLINIC REPUBLICAN TIMOFEI MOSNEAGA</t>
  </si>
  <si>
    <t>lot din baza</t>
  </si>
  <si>
    <t>Filtru antibacterian hidrofob compatibil cu aspiratoarele chirurgicale Ardo, Senator,Senator 30</t>
  </si>
  <si>
    <t>Filtru antibacterian hidrofob compatibil cu aspiratoarele chirurgicale Ardo, Senator,Senator 
30
Echivalent cu ref: 50.00.05</t>
  </si>
  <si>
    <t>MSP SPITALUL CLINIC REPUBLICAN TIMOFEI MOSNEAGA</t>
  </si>
  <si>
    <t>Hîrtie termo </t>
  </si>
  <si>
    <t>Hîrtie termosensibilă  50mm x 18m</t>
  </si>
  <si>
    <t>Hirtie termo 50 mm x 18 m</t>
  </si>
  <si>
    <t>Consumabile pentru DM</t>
  </si>
  <si>
    <t>IMSP SPITALUL CLINIC DE BOLI INFECTIOASE T CIORBA, locația de pe bd.Ștefan cel Mare și Sfânt, 163, mun.Chișinău</t>
  </si>
  <si>
    <t>III</t>
  </si>
  <si>
    <t>Reagenți pentru analizatorul hematologic</t>
  </si>
  <si>
    <t>Hîrtie termosensibilă  50mm x 20m, Mindray BC5150</t>
  </si>
  <si>
    <t>bucata </t>
  </si>
  <si>
    <t>Hirtie termo 50 mm (Mindray)</t>
  </si>
  <si>
    <t>Hîrtie termosensibilă  50mm x 20m,  compatibilă Mindray BC5150</t>
  </si>
  <si>
    <t>MINDRAY BC 5150</t>
  </si>
  <si>
    <t>IMSP SPITALUL RAIONAL FLORESTI</t>
  </si>
  <si>
    <t>Hirtie pentru aparat URYXXON Relax</t>
  </si>
  <si>
    <t>Hîrtie termosensibilă pentru aparat URYXXON Relax</t>
  </si>
  <si>
    <t>Lampa penrtu aparat</t>
  </si>
  <si>
    <t>Lampa penrtu aparat Stat Fax 1904, 3300</t>
  </si>
  <si>
    <t>10W 6V Stat Fax 1904, 3300 Awareness Tehnology</t>
  </si>
  <si>
    <t>Lampa penrtu microscop</t>
  </si>
  <si>
    <t xml:space="preserve"> Lampa penrtu microscop 20W 6V</t>
  </si>
  <si>
    <t>20W 6V</t>
  </si>
  <si>
    <t>IMSP INSTITUTUL ONCOLOGIC (0430)</t>
  </si>
  <si>
    <t>Clipse hemostatice endoscopice  ( 001876 )</t>
  </si>
  <si>
    <t>Clipse hemostatice endoscopice  ( 001876 ), Compatibil cu clipaplicatoarele multi uz HX-110-UR, pentru endoscopia flexibila, Bucată</t>
  </si>
  <si>
    <t>Primit de la Ana/ probabil a fost trimis inapoi la  Ana</t>
  </si>
  <si>
    <t>Teste pu determinarea glucozei N 50 + lancete.</t>
  </si>
  <si>
    <t>nou modificat de benificiar</t>
  </si>
  <si>
    <t>„</t>
  </si>
  <si>
    <t>Hirtie imprimanta  pentru audiometru OtoRead MAICO ERO-SCAN OAE 5,5cm lățime</t>
  </si>
  <si>
    <t>Hirtie 55mm p/u OtoRead MAICO ERO-SCAN</t>
  </si>
  <si>
    <t>Test-indicator sterilizare 132°/ 20 min  intern și Registru</t>
  </si>
  <si>
    <t>Indicator p/u controlul calităţii sterilizării la 132 grade 20 min. Intern, nr. de până la 1000 teste pe bază adezivă, clasa 4, cu virarea culorii indicatorului. Termen de valabilitate nu mai puțin de 24 luni, instrucțiune de utilizare în limba romană cu registru.
Registru aprobat de M.S al RM, Ord nr 828 din 31.10.2011 F257/e. 
Notă: La fiecare 1000 de teste, se oferă 1 registru cu titlu gratuit.</t>
  </si>
  <si>
    <t>pret estimat din lista de bazza 2025</t>
  </si>
  <si>
    <t>Lampa bactericida 30W/T8/G13</t>
  </si>
  <si>
    <t>confirmat lancete</t>
  </si>
  <si>
    <t xml:space="preserve">Lancete pentru  glucometru </t>
  </si>
  <si>
    <t>Set 6 Electrozi ECG Precordiali  25mm</t>
  </si>
  <si>
    <t>Camere de umedificare +setul de conectare la pacient pentru aparatul CPAP HEYER VS 500S</t>
  </si>
  <si>
    <t>pret
https://med-market.md/6597869/</t>
  </si>
  <si>
    <t>Cantitatea Totală</t>
  </si>
  <si>
    <t>Nr Lot</t>
  </si>
  <si>
    <t xml:space="preserve">Film radiologic 35 x 43 cm  (14 x 17 inch) echivalent cu SDS,  Konica Minolta </t>
  </si>
  <si>
    <t>Lampa penrtu microscop 20W 6V</t>
  </si>
  <si>
    <t>Set Seringi</t>
  </si>
  <si>
    <t>Kit de mentenanță anuală compatibil pentru stația de Oxigen
Ideal Makina IM GO 200</t>
  </si>
  <si>
    <t>Lampa bactericida. 
PHILIPS TL -D  36W/BLB lungime 120cm</t>
  </si>
  <si>
    <t>Lampa 10W 6V Stat Fax 1904, 3300 Awareness Tehnology</t>
  </si>
  <si>
    <t>Denumire Poziție</t>
  </si>
  <si>
    <t>Teste pentru
măsurarea glicemiei, VivaChek</t>
  </si>
  <si>
    <t>Pachetul test de unica folosinta BowieDick, asigura securitate maxima monitorizarii sterilizarii.
2.Se poate aprecia usor corectitudinea evacuarii aerului precum si asigurarea cantitatii corespunzatoare a aburului (concentratie non-critica a gazelor inerte).
Test   Bowie-Dik  121℃ - 134℃ (externe) p-u  autoclav</t>
  </si>
  <si>
    <t>Teste+lancete pentru glucometru (CLEVERCHEK)</t>
  </si>
  <si>
    <t>Teste pentru
măsurarea glicemiei
compatibile cu glucometrul VivaChek
sau
Operatorul economic va furniza
beneficiarului cel puțin 1
glucometru, cu titlu gratuit, la fiecare 750 de teste+lancete</t>
  </si>
  <si>
    <t xml:space="preserve">Registru aprobat de M.S al RM, Ord nr 828 din 31.10.2011 F257/e. </t>
  </si>
  <si>
    <t xml:space="preserve">Indicator pentru controlul calității sterilizării la 121 grade 15 min, numărul de până la 1000 teste pe bază adezivă, clasa 4, cu virarea culorii indicatorului. Termen de valabilitate nu mai puțin de 24 luni, instrucțiuni de utilizare în limba română.
</t>
  </si>
  <si>
    <t>Indicator pentru controlul calității sterilizării la 180 grade extern, numărul de până la 1000 teste pe bază adezivă, clasa 4, cu virarea culorii indicatorului. Termen de valabilitate nu mai puțin de 24 luni, instrucțiuni de utilizare în limba română.</t>
  </si>
  <si>
    <t>Indicator p/u controlul calităţii sterilizării la 126 grade  15 min.  Extern, nr. de până la 1000 teste pe bază adezivă, clasa 4, cu virarea culorii indicatorului. Termen de valabilitate nu mai puțin de 24 luni, instrucțiune de utilizare în limba romană .</t>
  </si>
  <si>
    <t>Indicator p/u controlul calităţii sterilizării la 126⁰ 15 min. Intern, nr. de până la 1000 teste pe bază adezivă, clasa 4, cu virarea culorii indicatorului. Termen de valabilitate nu mai puțin de 24 luni, instrucțiune de utilizare în limba romană.</t>
  </si>
  <si>
    <t>Indicator p/u controlul calităţii sterilizării la 132 grade 20 min. Intern, nr. de până la 1000 teste pe bază adezivă, clasa 4, cu virarea culorii indicatorului. Termen de valabilitate nu mai puțin de 24 luni, instrucțiune de utilizare în limba romană.</t>
  </si>
  <si>
    <t>Indicator p/u controlul calităţii sterilizării la 134 grade 10 min. intern, nr. de până la 1000 teste pe bază adezivă, clasa 4, cu virarea culorii indicatorului. Termen de valabilitate nu mai puțin de 24 luni, instrucțiune de utilizare în limba romană.</t>
  </si>
  <si>
    <t>Indicator p/u controlul calităţii sterilizării la 134 grade 10 min.extern, nr. de până la 1000 teste pe bază adezivă, clasa 4, cu virarea culorii indicatorului. Termen de valabilitate nu mai puțin de 24 luni, instrucțiune de utilizare în limba romană.</t>
  </si>
  <si>
    <t>1000 Teste și 1000 lancete pentru
măsurarea glicemiei
compatibile cu glucometrul ACCU - CHEK Active
sau
1000 Teste și 1000 lancete pentru
măsurarea glicemiei compatibile cu
alte tipuri de glucometre.
Operatorul economic va furniza
beneficiarului cel puțin 2
glucometre, cu titlu gratuit.</t>
  </si>
  <si>
    <t>1000 Teste și 1000 lancete pentru
măsurarea glicemiei
compatibile cu glucometrul ACCU - CHEK , sau BIONIME
sau
1000 Teste și 1000 lancete pentru
măsurarea glicemiei compatibile cu
alte tipuri de glucometre.
Operatorul economic va furniza
beneficiarului cel puțin 2
glucometre, cu titlu gratuit.</t>
  </si>
  <si>
    <t>Termohîrtie  p/u ECG MAC simple ARM TARGA
210 mm-210 mm-20 m, forma de carte</t>
  </si>
  <si>
    <t>Litru</t>
  </si>
  <si>
    <t>Seringa  50 ml , angio compatibile cu injectomatul Nemoto 50ml;</t>
  </si>
  <si>
    <t>Flacon</t>
  </si>
  <si>
    <t>Filtru bactericid pentru mustuc</t>
  </si>
  <si>
    <t>Suma cu TVA</t>
  </si>
  <si>
    <t>Suma alocată</t>
  </si>
  <si>
    <t>Denumire Lot
NEW2</t>
  </si>
  <si>
    <t>Specificarea tehnică deplină 
NEW2</t>
  </si>
  <si>
    <t>Muștuc pentru spirometrie compatibil cu SpiroThor, Thor Laboratories</t>
  </si>
  <si>
    <t xml:space="preserve">Muștuc pentru spirometrie compatibil cu SpiroThor, Thor Laboratories
1.Muștuc pentru spirometrie 
2. Dimensiuni: Diametru interior – 22.5mm ±0,5mm 
Diametru exterior – 24.5mm ±0,5mm
   Lungime – 70mm ±5mm 
3. Destinat pentru adulți 
4. Compatibil cu SpiroThor, Thor Laboratories
5. De unică folosința 
6. Material: carton
7. Ambalaj individual
</t>
  </si>
  <si>
    <t>Film radiologic 35 x 43 cm  (14 x 17 inch), Carestreeam</t>
  </si>
  <si>
    <t>Film radiologic 35 x 43 cm  (14 x 17 inch),
Echivalent cu model DVB+
Până la 125 bucăți în cutie
compatibil cu Dry View 5700</t>
  </si>
  <si>
    <t xml:space="preserve">Filtru pentru aspirator chirurgical modelul CA-MI New Hospivac 350, antibacterial și antiviral, hidrofob, de unică utilizare. </t>
  </si>
  <si>
    <t>Hârtie  tip etichetă 100 x 75mm x 750P, OD5-E</t>
  </si>
  <si>
    <t>Hârtie  tip etichetă 100 x 75mm x 750P compatibilă cu printer model OD5+E conectat la Endoscan Olympus și mașina de spălat endoscoape EDT4 Echivalentă cu cod E0424415</t>
  </si>
  <si>
    <t>Pătură încălzire pacient, Adult, Mistral-Air</t>
  </si>
  <si>
    <t>Pătură încălzire pacient,   Jumătatea superioară, Mistral-Air</t>
  </si>
  <si>
    <t>Conexiunea păturii să fie compatibilă cu aparatul mod. Mistral-Air, prod. Olanda, aflat in dotare 
tip aplicare: Adult
Marimea totală paturii: 2270 x 1330 mm
Marimea suprafaței de incalzire: 1730 x 790 mm
Echivalent cu model Adult Plus MA2220</t>
  </si>
  <si>
    <t>Conexiunea păturii să fie compatibilă cu aparatul mod. Mistral-Air, prod. Olanda,  aflat in dotare 
tip aplicare: Jumătatea superioară
Marimea totală paturii: 1600 x 760 mm
Marimea suprafaței de incalzire: 1375 x 580 mm
Echivalent cu model Half Upper Body Plus MA2265</t>
  </si>
  <si>
    <t>Conexiunea păturii să fie compatibilă cu aparatul mod. Mistral-Air, prod. Olanda,  aflat in dotare 
tip aplicare: Sub corp complet
Marimea totală paturii: 2200 x 900 mm
Marimea suprafaței de incalzire: 2160 x 840 mm
Echivalent cu model Full Underbody Plus MA2400</t>
  </si>
  <si>
    <t>Pătură încălzire pacient, Sub corp complet, Mistral-Air</t>
  </si>
  <si>
    <t>Conexiunea păturii să fie compatibilă cu aparatul mod. Mistral-Air, prod. Olanda,  aflat in dotare 
tip aplicare: Partea superioară
Marimea totală paturii: 2010 x 760 mm
Marimea suprafaței de incalzire: 1880 x 580 mm
Echivalent cu model Premium Upper Body MA3360</t>
  </si>
  <si>
    <t>Pătură încălzire pacient, Partea superioară, Mistral-Air</t>
  </si>
  <si>
    <t>Electrod neutru, bipolar pregelat de unica folosinta cu cablu, compatibil cu generatorul pentru ablatie IBI- 1500T11; Tip conector - REM/Non-Rem; Lungime cablu - min 2m; Dimensiuni - min 200x100; Tip electrod - bipolar vertical</t>
  </si>
  <si>
    <t>Electrod neutru  200 x 100mm, bipolar vertical</t>
  </si>
  <si>
    <t>anulare ( nu este clar ce prosu se solicita si pret estimat)</t>
  </si>
  <si>
    <t>Manjeta  TA  (Holter) 24 ore  compatibil cu WALK 200B, Cardioline
Marimea M (24-32cm) cu un singur tub lungimea 130cm</t>
  </si>
  <si>
    <t>Manșeta NIBP adulți (pentru masurarea neinvaziva a tensiunii arteriale) 34-43 cm ±3 cm</t>
  </si>
  <si>
    <t>Manșeta NIBP adulți 25x35 cm ±3 cm</t>
  </si>
  <si>
    <t xml:space="preserve">1. Cu un canal, un tub cu conector la furtun NIBP compatibil cu monitorele din cadrul instituției (BMO210D, Mindray, China) 
2. Mărimea 34–43 cm cu toleranță admisibilă ±3 cm, distanță minimă ≥10 cm ±1 cm 
3. Reutilizabile
4. Materil nylon sau poliuretan sau material echivalent
tip pacient adult
</t>
  </si>
  <si>
    <t>1. Cu un canal, un tub cu conector la furtun NIBP compatibil cu monitorele din cadrul instituției (Emtel FX 3000)
 2. Mărimea 25–35 cm cu toleranță admisibilă ±3 cm, distanță minimă ≥10 cm ±1 cm
3. Reutilizabile
4. Materil nylon sau poliuretan sau material echivalent</t>
  </si>
  <si>
    <t xml:space="preserve">Manșeta NIBP adulți 33x47 cm  cm ±3 </t>
  </si>
  <si>
    <t>1. Cu un canal, un tub cu conector la furtun NIBP compatibil cu monitorele din cadrul instituției (EmtelFX 3000)
2. Mărimea 33–47 cm cu toleranță admisibilă ±3 cm, distanță minimă ≥10 cm ±1 cm
3. Reutilizabile
4. Materil nylon sau poliuretan sau material echivalent</t>
  </si>
  <si>
    <t xml:space="preserve">Manșeta NIBP adulți 47x57 cm cm ±3 </t>
  </si>
  <si>
    <t>1. Cu un canal, un tub cu conector la furtun NIBP compatibil cu monitorele din cadrul instituției (Emtel FX 3000)
2.Marimea 47-57 cm cu toleranță admisibilă ±3 cm, distanță minimă ≥10 cm ±1 cm.
3. Reutilizabile
4. Materil nylon sau poliuretan sau material echivalent</t>
  </si>
  <si>
    <t>Manșetă pentru monitorizare NIBP pentru pacient pediatric, Mărimea 18–26 cm cu toleranță admisibilă ±1 cm, distanță minimă ≥8 cm ±1 cm, cu un tub, de multiplă  utilizare.</t>
  </si>
  <si>
    <t>Manșetă NIBP, pediatrică, 18-26 ±1 cm, reutilizabilă</t>
  </si>
  <si>
    <t>Manșetă pentru monitorizare NIBP pentru pacient pediatric, Mărimea 25–35 cm cu toleranță admisibilă ±3 cm, distanță minimă ≥10 cm ±1 cm, cu un tub, de multiplă  utilizare.</t>
  </si>
  <si>
    <t xml:space="preserve">1.diametru  54 - 60mm, 2. electrod Ag/AgCl, 3.cu gel lichid, 4.fără latex, 5.de unică folosință, 6.conector metalic (ECG Snap Connector), 7. adeziv neiritanti, hipoalergenic pentru piele sau utilizatori, 8. termen de utilizare min. 72 ore, 9. posibilitatea de defibrilare a pacientului.  </t>
  </si>
  <si>
    <t>Manșetă NIBP, pediatrică, 25-35 ±3 cm, reutilizabilă</t>
  </si>
  <si>
    <t>ANULAT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</si>
</sst>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5" x14ac:knownFonts="1">
    <font>
      <sz val="10"/>
      <name val="Arial"/>
      <family val="2"/>
    </font>
    <font>
      <sz val="10"/>
      <name val="Arial"/>
      <family val="2"/>
    </font>
    <font>
      <b/>
      <sz val="11"/>
      <color indexed="8"/>
      <name val="Times New Roman"/>
      <family val="1"/>
      <charset val="204"/>
    </font>
    <font>
      <b/>
      <sz val="11"/>
      <name val="Times New Roman"/>
      <family val="1"/>
      <charset val="204"/>
    </font>
    <font>
      <sz val="11"/>
      <name val="Times New Roman"/>
      <family val="1"/>
      <charset val="204"/>
    </font>
    <font>
      <sz val="11"/>
      <color indexed="8"/>
      <name val="Times New Roman"/>
      <family val="1"/>
      <charset val="204"/>
    </font>
    <font>
      <sz val="11"/>
      <color rgb="FF000000"/>
      <name val="Times New Roman"/>
      <family val="1"/>
      <charset val="204"/>
    </font>
    <font>
      <sz val="12"/>
      <color theme="1"/>
      <name val="Times New Roman"/>
      <family val="1"/>
    </font>
    <font>
      <u/>
      <sz val="10"/>
      <color theme="10"/>
      <name val="Arial"/>
      <family val="2"/>
      <charset val="204"/>
    </font>
    <font>
      <sz val="10"/>
      <name val="Arial"/>
      <family val="2"/>
      <charset val="204"/>
    </font>
    <font>
      <sz val="11"/>
      <color rgb="FF222222"/>
      <name val="Times New Roman"/>
      <family val="1"/>
      <charset val="204"/>
    </font>
    <font>
      <sz val="11"/>
      <color theme="1"/>
      <name val="Times New Roman"/>
      <family val="1"/>
      <charset val="204"/>
    </font>
    <font>
      <sz val="11"/>
      <color theme="1"/>
      <name val="Calibri"/>
      <family val="2"/>
    </font>
    <font>
      <sz val="11"/>
      <color rgb="FF1C1C1C"/>
      <name val="Times New Roman"/>
      <family val="1"/>
      <charset val="204"/>
    </font>
    <font>
      <sz val="11"/>
      <color rgb="FF9C0006"/>
      <name val="Calibri"/>
      <family val="2"/>
      <scheme val="minor"/>
    </font>
    <font>
      <sz val="11"/>
      <color rgb="FF333333"/>
      <name val="Times New Roman"/>
      <family val="1"/>
      <charset val="204"/>
    </font>
    <font>
      <sz val="11"/>
      <color theme="1"/>
      <name val="Calibri"/>
      <family val="2"/>
      <scheme val="minor"/>
    </font>
    <font>
      <sz val="12"/>
      <color indexed="8"/>
      <name val="Times New Roman"/>
      <family val="1"/>
      <charset val="204"/>
    </font>
    <font>
      <sz val="11"/>
      <color rgb="FF000000"/>
      <name val="Times New Roman"/>
      <family val="1"/>
    </font>
    <font>
      <sz val="12"/>
      <color rgb="FF000000"/>
      <name val="Times New Roman"/>
      <family val="1"/>
    </font>
    <font>
      <sz val="11"/>
      <name val="Times New Roman"/>
      <family val="1"/>
    </font>
    <font>
      <sz val="11"/>
      <color indexed="8"/>
      <name val="Times New Roman"/>
      <family val="1"/>
    </font>
    <font>
      <sz val="14"/>
      <color rgb="FF000000"/>
      <name val="Times New Roman"/>
      <family val="1"/>
      <charset val="204"/>
    </font>
    <font>
      <sz val="14"/>
      <color indexed="8"/>
      <name val="Times New Roman"/>
      <family val="1"/>
      <charset val="204"/>
    </font>
    <font>
      <sz val="14"/>
      <name val="Times New Roman"/>
      <family val="1"/>
      <charset val="204"/>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thin">
        <color indexed="64"/>
      </top>
      <bottom/>
      <diagonal/>
    </border>
    <border>
      <left style="medium">
        <color rgb="FF000000"/>
      </left>
      <right style="thin">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thin">
        <color indexed="64"/>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s>
  <cellStyleXfs count="12">
    <xf numFmtId="0" fontId="0" fillId="0" borderId="0"/>
    <xf numFmtId="0" fontId="14" fillId="3" borderId="0" applyNumberFormat="0" applyBorder="0" applyAlignment="0" applyProtection="0"/>
    <xf numFmtId="0" fontId="1" fillId="0" borderId="0"/>
    <xf numFmtId="0" fontId="7" fillId="2" borderId="0" applyNumberFormat="0" applyBorder="0" applyAlignment="0" applyProtection="0"/>
    <xf numFmtId="0" fontId="8"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16" fillId="0" borderId="0"/>
    <xf numFmtId="43" fontId="1" fillId="0" borderId="0" applyFont="0" applyFill="0" applyBorder="0" applyAlignment="0" applyProtection="0"/>
  </cellStyleXfs>
  <cellXfs count="391">
    <xf numFmtId="0" fontId="0" fillId="0" borderId="0" xfId="0"/>
    <xf numFmtId="0" fontId="2" fillId="0" borderId="1" xfId="2" applyFont="1" applyBorder="1" applyAlignment="1">
      <alignment horizontal="center" vertical="center" wrapText="1"/>
    </xf>
    <xf numFmtId="0" fontId="2" fillId="4" borderId="1" xfId="2"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4" fontId="2" fillId="0" borderId="1" xfId="2" applyNumberFormat="1" applyFont="1" applyBorder="1" applyAlignment="1">
      <alignment horizontal="center" vertical="center" wrapText="1"/>
    </xf>
    <xf numFmtId="4" fontId="3" fillId="0" borderId="1" xfId="2" applyNumberFormat="1" applyFont="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2" applyFont="1" applyBorder="1" applyAlignment="1" applyProtection="1">
      <alignment horizontal="center" vertical="center" wrapText="1"/>
      <protection locked="0"/>
    </xf>
    <xf numFmtId="0" fontId="3" fillId="0" borderId="0" xfId="2" applyFont="1" applyProtection="1">
      <protection locked="0"/>
    </xf>
    <xf numFmtId="0" fontId="4" fillId="0" borderId="1" xfId="2"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0" borderId="1" xfId="0" applyFont="1" applyFill="1" applyBorder="1" applyAlignment="1">
      <alignment horizontal="left" wrapText="1"/>
    </xf>
    <xf numFmtId="0" fontId="5" fillId="4"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4" fillId="0" borderId="1" xfId="2" applyFont="1" applyFill="1" applyBorder="1" applyAlignment="1" applyProtection="1">
      <alignment horizontal="center" vertical="center"/>
      <protection locked="0"/>
    </xf>
    <xf numFmtId="164" fontId="5" fillId="0" borderId="1" xfId="0" applyNumberFormat="1" applyFont="1" applyFill="1" applyBorder="1" applyAlignment="1" applyProtection="1">
      <alignment horizontal="center" vertical="center" wrapText="1"/>
      <protection hidden="1"/>
    </xf>
    <xf numFmtId="0" fontId="4" fillId="0" borderId="1" xfId="2" applyFont="1" applyFill="1" applyBorder="1" applyProtection="1">
      <protection locked="0"/>
    </xf>
    <xf numFmtId="0" fontId="4" fillId="0" borderId="1" xfId="2" applyFont="1" applyFill="1" applyBorder="1" applyAlignment="1" applyProtection="1">
      <alignment vertical="center" wrapText="1"/>
      <protection locked="0"/>
    </xf>
    <xf numFmtId="0" fontId="4" fillId="0" borderId="0" xfId="2" applyFont="1" applyFill="1" applyProtection="1">
      <protection locked="0"/>
    </xf>
    <xf numFmtId="0" fontId="4" fillId="0" borderId="1" xfId="2" applyFont="1" applyFill="1" applyBorder="1" applyAlignment="1" applyProtection="1">
      <alignment wrapText="1"/>
      <protection locked="0"/>
    </xf>
    <xf numFmtId="0" fontId="5" fillId="0" borderId="1" xfId="0" applyFont="1" applyFill="1" applyBorder="1" applyAlignment="1">
      <alignment horizontal="center" vertical="top" wrapText="1"/>
    </xf>
    <xf numFmtId="0" fontId="5" fillId="0" borderId="1" xfId="0" applyFont="1" applyFill="1" applyBorder="1" applyAlignment="1">
      <alignment horizontal="left" vertical="top" wrapText="1"/>
    </xf>
    <xf numFmtId="0" fontId="4" fillId="0" borderId="1" xfId="2" applyFont="1" applyBorder="1" applyAlignment="1" applyProtection="1">
      <alignment wrapText="1"/>
      <protection locked="0"/>
    </xf>
    <xf numFmtId="0" fontId="4" fillId="0" borderId="1" xfId="2" applyFont="1" applyBorder="1" applyAlignment="1" applyProtection="1">
      <alignment horizontal="center"/>
      <protection locked="0"/>
    </xf>
    <xf numFmtId="0" fontId="5" fillId="0" borderId="1" xfId="0" applyFont="1" applyBorder="1" applyAlignment="1">
      <alignment horizontal="left" vertical="top" wrapText="1"/>
    </xf>
    <xf numFmtId="0" fontId="6" fillId="0" borderId="1" xfId="0" applyFont="1" applyBorder="1" applyAlignment="1">
      <alignment horizontal="center" vertical="center" wrapText="1"/>
    </xf>
    <xf numFmtId="164" fontId="5" fillId="0" borderId="1" xfId="0" applyNumberFormat="1" applyFont="1" applyBorder="1" applyAlignment="1" applyProtection="1">
      <alignment horizontal="center" vertical="center" wrapText="1"/>
      <protection hidden="1"/>
    </xf>
    <xf numFmtId="0" fontId="4" fillId="0" borderId="1" xfId="2" applyFont="1" applyBorder="1" applyProtection="1">
      <protection locked="0"/>
    </xf>
    <xf numFmtId="0" fontId="4" fillId="0" borderId="0" xfId="2" applyFont="1" applyProtection="1">
      <protection locked="0"/>
    </xf>
    <xf numFmtId="0" fontId="5" fillId="4" borderId="1" xfId="0" applyFont="1" applyFill="1" applyBorder="1" applyAlignment="1">
      <alignment horizontal="left" vertical="top" wrapText="1"/>
    </xf>
    <xf numFmtId="0" fontId="5" fillId="0" borderId="1" xfId="0" applyFont="1" applyBorder="1" applyAlignment="1">
      <alignment horizontal="center" vertical="center" wrapText="1"/>
    </xf>
    <xf numFmtId="0" fontId="4" fillId="0" borderId="1" xfId="2" applyFont="1" applyBorder="1" applyAlignment="1" applyProtection="1">
      <alignment horizontal="center" vertical="center"/>
      <protection locked="0"/>
    </xf>
    <xf numFmtId="0" fontId="5" fillId="0" borderId="1" xfId="0" applyFont="1" applyBorder="1" applyAlignment="1">
      <alignment horizontal="center" vertical="top" wrapText="1"/>
    </xf>
    <xf numFmtId="0" fontId="5" fillId="0" borderId="1" xfId="5" applyFont="1" applyBorder="1" applyAlignment="1">
      <alignment horizontal="left" vertical="top" wrapText="1"/>
    </xf>
    <xf numFmtId="0" fontId="5" fillId="0" borderId="1" xfId="5" applyFont="1" applyBorder="1" applyAlignment="1">
      <alignment horizontal="center" vertical="top" wrapText="1"/>
    </xf>
    <xf numFmtId="0" fontId="5" fillId="0" borderId="1" xfId="5" applyFont="1" applyBorder="1" applyAlignment="1">
      <alignment horizontal="left" vertical="center" wrapText="1"/>
    </xf>
    <xf numFmtId="0" fontId="5" fillId="0" borderId="1" xfId="5" applyFont="1" applyBorder="1" applyAlignment="1">
      <alignment horizontal="center" vertical="center" wrapText="1"/>
    </xf>
    <xf numFmtId="0" fontId="5" fillId="4" borderId="1" xfId="5" applyFont="1" applyFill="1" applyBorder="1" applyAlignment="1">
      <alignment horizontal="left" vertical="top" wrapText="1"/>
    </xf>
    <xf numFmtId="0" fontId="6" fillId="0" borderId="1" xfId="5" applyFont="1" applyBorder="1" applyAlignment="1">
      <alignment horizontal="center" vertical="center" wrapText="1"/>
    </xf>
    <xf numFmtId="164" fontId="5" fillId="0" borderId="1" xfId="5" applyNumberFormat="1" applyFont="1" applyBorder="1" applyAlignment="1" applyProtection="1">
      <alignment horizontal="center" vertical="center" wrapText="1"/>
      <protection hidden="1"/>
    </xf>
    <xf numFmtId="0" fontId="5" fillId="0" borderId="1" xfId="5" applyFont="1" applyFill="1" applyBorder="1" applyAlignment="1">
      <alignment horizontal="center" vertical="top" wrapText="1"/>
    </xf>
    <xf numFmtId="0" fontId="10" fillId="0" borderId="1" xfId="5" applyFont="1" applyFill="1" applyBorder="1" applyAlignment="1">
      <alignment vertical="center" wrapText="1"/>
    </xf>
    <xf numFmtId="0" fontId="5" fillId="0" borderId="1" xfId="5" applyFont="1" applyFill="1" applyBorder="1" applyAlignment="1">
      <alignment horizontal="left" vertical="top" wrapText="1"/>
    </xf>
    <xf numFmtId="0" fontId="5" fillId="4" borderId="1" xfId="5" applyFont="1" applyFill="1" applyBorder="1" applyAlignment="1">
      <alignment horizontal="center" vertical="center" wrapText="1"/>
    </xf>
    <xf numFmtId="0" fontId="6" fillId="0" borderId="1" xfId="5" applyFont="1" applyFill="1" applyBorder="1" applyAlignment="1">
      <alignment horizontal="center" vertical="center" wrapText="1"/>
    </xf>
    <xf numFmtId="0" fontId="6" fillId="4" borderId="1" xfId="0" applyFont="1" applyFill="1" applyBorder="1" applyAlignment="1">
      <alignment horizontal="center" vertical="center" wrapText="1"/>
    </xf>
    <xf numFmtId="164" fontId="5" fillId="0" borderId="1" xfId="5" applyNumberFormat="1" applyFont="1" applyFill="1" applyBorder="1" applyAlignment="1" applyProtection="1">
      <alignment horizontal="center" vertical="center" wrapText="1"/>
      <protection hidden="1"/>
    </xf>
    <xf numFmtId="0" fontId="11" fillId="0" borderId="1" xfId="5" applyFont="1" applyBorder="1" applyAlignment="1">
      <alignment wrapText="1"/>
    </xf>
    <xf numFmtId="0" fontId="11" fillId="0" borderId="1" xfId="5" applyFont="1" applyBorder="1" applyAlignment="1">
      <alignment horizontal="center" vertical="center" wrapText="1"/>
    </xf>
    <xf numFmtId="0" fontId="11" fillId="0" borderId="1" xfId="5" applyFont="1" applyBorder="1" applyAlignment="1">
      <alignment vertical="top" wrapText="1"/>
    </xf>
    <xf numFmtId="0" fontId="11" fillId="4" borderId="1" xfId="5" applyFont="1" applyFill="1" applyBorder="1" applyAlignment="1">
      <alignment horizontal="center" vertical="center" wrapText="1"/>
    </xf>
    <xf numFmtId="0" fontId="11" fillId="0" borderId="1" xfId="5" applyFont="1" applyFill="1" applyBorder="1" applyAlignment="1">
      <alignment wrapText="1"/>
    </xf>
    <xf numFmtId="0" fontId="1" fillId="0" borderId="1" xfId="2" applyBorder="1"/>
    <xf numFmtId="0" fontId="11" fillId="0" borderId="1" xfId="0" applyFont="1" applyFill="1" applyBorder="1" applyAlignment="1">
      <alignment wrapText="1"/>
    </xf>
    <xf numFmtId="0" fontId="11" fillId="0" borderId="1" xfId="0" applyFont="1" applyFill="1" applyBorder="1" applyAlignment="1">
      <alignment horizontal="center" vertical="center" wrapText="1"/>
    </xf>
    <xf numFmtId="0" fontId="4" fillId="0" borderId="1" xfId="0" applyFont="1" applyFill="1" applyBorder="1"/>
    <xf numFmtId="0" fontId="4" fillId="0" borderId="1" xfId="0" applyFont="1" applyFill="1" applyBorder="1" applyAlignment="1">
      <alignment horizontal="center" vertical="center" wrapText="1"/>
    </xf>
    <xf numFmtId="0" fontId="6" fillId="0" borderId="1" xfId="5" applyFont="1" applyBorder="1" applyAlignment="1">
      <alignment horizontal="center" vertical="top" wrapText="1"/>
    </xf>
    <xf numFmtId="164" fontId="5" fillId="0" borderId="1" xfId="5" applyNumberFormat="1" applyFont="1" applyBorder="1" applyAlignment="1" applyProtection="1">
      <alignment horizontal="center" vertical="top" wrapText="1"/>
      <protection hidden="1"/>
    </xf>
    <xf numFmtId="2" fontId="5" fillId="0" borderId="1" xfId="5" applyNumberFormat="1" applyFont="1" applyBorder="1" applyAlignment="1" applyProtection="1">
      <alignment horizontal="center" vertical="top" wrapText="1"/>
      <protection hidden="1"/>
    </xf>
    <xf numFmtId="0" fontId="5" fillId="0" borderId="1" xfId="5" applyFont="1" applyFill="1" applyBorder="1" applyAlignment="1">
      <alignment horizontal="center" vertical="center" wrapText="1"/>
    </xf>
    <xf numFmtId="2" fontId="4" fillId="0" borderId="1" xfId="2" applyNumberFormat="1" applyFont="1" applyBorder="1" applyAlignment="1" applyProtection="1">
      <alignment horizontal="center" vertical="top"/>
      <protection locked="0"/>
    </xf>
    <xf numFmtId="0" fontId="6" fillId="0" borderId="1" xfId="5" applyFont="1" applyFill="1" applyBorder="1" applyAlignment="1">
      <alignment horizontal="center" vertical="top" wrapText="1"/>
    </xf>
    <xf numFmtId="2" fontId="5" fillId="0" borderId="1" xfId="5" applyNumberFormat="1" applyFont="1" applyFill="1" applyBorder="1" applyAlignment="1" applyProtection="1">
      <alignment horizontal="center" vertical="top" wrapText="1"/>
      <protection hidden="1"/>
    </xf>
    <xf numFmtId="0" fontId="6" fillId="0" borderId="1" xfId="0" applyFont="1" applyFill="1" applyBorder="1" applyAlignment="1">
      <alignment horizontal="left" vertical="center"/>
    </xf>
    <xf numFmtId="0" fontId="6" fillId="0" borderId="1" xfId="0" applyFont="1" applyBorder="1"/>
    <xf numFmtId="0" fontId="6" fillId="0" borderId="1" xfId="0" applyFont="1" applyBorder="1" applyAlignment="1">
      <alignment vertical="center" wrapText="1"/>
    </xf>
    <xf numFmtId="0" fontId="13" fillId="0" borderId="1" xfId="0" applyFont="1" applyBorder="1" applyAlignment="1">
      <alignment horizontal="left" vertical="center"/>
    </xf>
    <xf numFmtId="0" fontId="13"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4" borderId="1" xfId="2" applyFont="1" applyFill="1" applyBorder="1" applyAlignment="1" applyProtection="1">
      <alignment horizontal="left" vertical="center" wrapText="1"/>
      <protection locked="0"/>
    </xf>
    <xf numFmtId="0" fontId="4" fillId="0" borderId="1" xfId="2" applyFont="1" applyBorder="1" applyAlignment="1" applyProtection="1">
      <alignment horizontal="left" vertical="center"/>
      <protection locked="0"/>
    </xf>
    <xf numFmtId="0" fontId="6" fillId="6" borderId="1" xfId="0" applyFont="1" applyFill="1" applyBorder="1" applyAlignment="1">
      <alignment vertical="center" wrapText="1"/>
    </xf>
    <xf numFmtId="0" fontId="11" fillId="0" borderId="1" xfId="0" applyFont="1" applyBorder="1" applyAlignment="1">
      <alignment wrapText="1"/>
    </xf>
    <xf numFmtId="0" fontId="11" fillId="0" borderId="1" xfId="0" applyFont="1" applyBorder="1" applyAlignment="1">
      <alignment horizontal="center" vertical="center" wrapText="1"/>
    </xf>
    <xf numFmtId="1" fontId="11" fillId="7" borderId="1" xfId="6" applyNumberFormat="1" applyFont="1" applyFill="1" applyBorder="1" applyAlignment="1" applyProtection="1">
      <alignment horizontal="left" vertical="center" wrapText="1"/>
      <protection hidden="1"/>
    </xf>
    <xf numFmtId="1" fontId="11" fillId="7" borderId="1" xfId="6" applyNumberFormat="1" applyFont="1" applyFill="1" applyBorder="1" applyAlignment="1" applyProtection="1">
      <alignment horizontal="center" vertical="center" wrapText="1"/>
      <protection hidden="1"/>
    </xf>
    <xf numFmtId="0" fontId="5" fillId="7" borderId="1" xfId="0" applyFont="1" applyFill="1" applyBorder="1" applyAlignment="1">
      <alignment horizontal="left" vertical="top" wrapText="1"/>
    </xf>
    <xf numFmtId="0" fontId="11" fillId="7" borderId="1" xfId="2" applyFont="1" applyFill="1" applyBorder="1" applyAlignment="1" applyProtection="1">
      <alignment horizontal="left" vertical="center" wrapText="1"/>
      <protection hidden="1"/>
    </xf>
    <xf numFmtId="0" fontId="11" fillId="7" borderId="1" xfId="2" applyFont="1" applyFill="1" applyBorder="1" applyAlignment="1" applyProtection="1">
      <alignment horizontal="center" vertical="center" wrapText="1"/>
      <protection hidden="1"/>
    </xf>
    <xf numFmtId="0" fontId="11" fillId="7" borderId="1" xfId="5" applyFont="1" applyFill="1" applyBorder="1" applyAlignment="1" applyProtection="1">
      <alignment horizontal="center" vertical="center" wrapText="1"/>
      <protection hidden="1"/>
    </xf>
    <xf numFmtId="0" fontId="6" fillId="0" borderId="1" xfId="7" applyFont="1" applyBorder="1" applyAlignment="1" applyProtection="1">
      <alignment horizontal="left" vertical="center" wrapText="1"/>
      <protection hidden="1"/>
    </xf>
    <xf numFmtId="0" fontId="6" fillId="0" borderId="1" xfId="7" applyFont="1" applyBorder="1" applyAlignment="1" applyProtection="1">
      <alignment horizontal="center" vertical="center" wrapText="1"/>
      <protection hidden="1"/>
    </xf>
    <xf numFmtId="0" fontId="6" fillId="0" borderId="1" xfId="7" applyFont="1" applyBorder="1" applyAlignment="1" applyProtection="1">
      <alignment vertical="center" wrapText="1"/>
      <protection hidden="1"/>
    </xf>
    <xf numFmtId="0" fontId="4" fillId="0" borderId="1" xfId="0" applyFont="1" applyBorder="1" applyAlignment="1">
      <alignment wrapText="1"/>
    </xf>
    <xf numFmtId="0" fontId="6" fillId="6" borderId="1" xfId="0" applyFont="1" applyFill="1" applyBorder="1" applyAlignment="1">
      <alignment horizontal="center" vertical="center" wrapText="1"/>
    </xf>
    <xf numFmtId="0" fontId="4" fillId="0" borderId="1" xfId="0" applyFont="1" applyBorder="1"/>
    <xf numFmtId="0" fontId="4" fillId="0" borderId="1" xfId="2" applyFont="1" applyBorder="1" applyAlignment="1" applyProtection="1">
      <alignment horizontal="left" vertical="center" wrapText="1"/>
      <protection locked="0"/>
    </xf>
    <xf numFmtId="0" fontId="4" fillId="0" borderId="1" xfId="2" applyFont="1" applyBorder="1" applyAlignment="1" applyProtection="1">
      <alignment horizontal="center" vertical="center" wrapText="1"/>
      <protection locked="0"/>
    </xf>
    <xf numFmtId="0" fontId="5" fillId="0" borderId="1" xfId="8" applyFont="1" applyBorder="1" applyAlignment="1">
      <alignment horizontal="left" vertical="center" wrapText="1"/>
    </xf>
    <xf numFmtId="0" fontId="5" fillId="0" borderId="1" xfId="8" applyFont="1" applyBorder="1" applyAlignment="1">
      <alignment horizontal="center" vertical="center" wrapText="1"/>
    </xf>
    <xf numFmtId="0" fontId="4" fillId="4" borderId="1" xfId="2" applyFont="1" applyFill="1" applyBorder="1" applyAlignment="1" applyProtection="1">
      <alignment horizontal="center" vertical="center" wrapText="1"/>
      <protection locked="0"/>
    </xf>
    <xf numFmtId="0" fontId="11" fillId="0" borderId="1" xfId="0" applyFont="1" applyBorder="1" applyAlignment="1">
      <alignment vertical="top" wrapText="1"/>
    </xf>
    <xf numFmtId="0" fontId="11" fillId="4" borderId="1" xfId="0" applyFont="1" applyFill="1" applyBorder="1" applyAlignment="1">
      <alignment horizontal="center" vertical="center" wrapText="1"/>
    </xf>
    <xf numFmtId="0" fontId="6" fillId="7" borderId="1" xfId="0" applyFont="1" applyFill="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right" vertical="center" wrapText="1"/>
    </xf>
    <xf numFmtId="0" fontId="6" fillId="7" borderId="1" xfId="0" applyFont="1" applyFill="1" applyBorder="1" applyAlignment="1">
      <alignment horizontal="left" vertical="center" wrapText="1"/>
    </xf>
    <xf numFmtId="0" fontId="5" fillId="0" borderId="1" xfId="5" applyFont="1" applyFill="1" applyBorder="1" applyAlignment="1">
      <alignment horizontal="left" vertical="center"/>
    </xf>
    <xf numFmtId="2" fontId="6" fillId="0" borderId="1" xfId="5" applyNumberFormat="1" applyFont="1" applyFill="1" applyBorder="1" applyAlignment="1">
      <alignment horizontal="center" vertical="center" wrapText="1"/>
    </xf>
    <xf numFmtId="2" fontId="4" fillId="0" borderId="1" xfId="2" applyNumberFormat="1" applyFont="1" applyFill="1" applyBorder="1" applyAlignment="1" applyProtection="1">
      <alignment horizontal="center" vertical="center"/>
      <protection locked="0"/>
    </xf>
    <xf numFmtId="2" fontId="5" fillId="0" borderId="1" xfId="5" applyNumberFormat="1" applyFont="1" applyFill="1" applyBorder="1" applyAlignment="1" applyProtection="1">
      <alignment horizontal="right" vertical="center" wrapText="1"/>
      <protection hidden="1"/>
    </xf>
    <xf numFmtId="2" fontId="4" fillId="0" borderId="1" xfId="2" applyNumberFormat="1" applyFont="1" applyBorder="1" applyAlignment="1" applyProtection="1">
      <alignment horizontal="center"/>
      <protection locked="0"/>
    </xf>
    <xf numFmtId="2" fontId="4" fillId="0" borderId="1" xfId="2" applyNumberFormat="1" applyFont="1" applyBorder="1" applyAlignment="1" applyProtection="1">
      <alignment horizontal="center" vertical="center"/>
      <protection locked="0"/>
    </xf>
    <xf numFmtId="2" fontId="4" fillId="0" borderId="1" xfId="2" applyNumberFormat="1" applyFont="1" applyBorder="1" applyAlignment="1" applyProtection="1">
      <alignment horizontal="right" vertical="center"/>
      <protection locked="0"/>
    </xf>
    <xf numFmtId="2" fontId="4" fillId="0" borderId="1" xfId="2" applyNumberFormat="1" applyFont="1" applyBorder="1" applyAlignment="1" applyProtection="1">
      <alignment horizontal="center" vertical="center" wrapText="1"/>
      <protection locked="0"/>
    </xf>
    <xf numFmtId="2" fontId="4" fillId="0" borderId="1" xfId="2" applyNumberFormat="1" applyFont="1" applyBorder="1" applyAlignment="1" applyProtection="1">
      <alignment horizontal="right" vertical="center" wrapText="1"/>
      <protection locked="0"/>
    </xf>
    <xf numFmtId="0" fontId="4" fillId="0" borderId="1" xfId="2" applyFont="1" applyBorder="1" applyAlignment="1" applyProtection="1">
      <alignment vertical="center" wrapText="1"/>
      <protection locked="0"/>
    </xf>
    <xf numFmtId="0" fontId="4" fillId="0" borderId="1" xfId="2" applyFont="1" applyBorder="1" applyAlignment="1" applyProtection="1">
      <protection locked="0"/>
    </xf>
    <xf numFmtId="0" fontId="4" fillId="0" borderId="1" xfId="2" applyFont="1" applyBorder="1" applyAlignment="1" applyProtection="1">
      <alignment vertical="center"/>
      <protection locked="0"/>
    </xf>
    <xf numFmtId="0" fontId="4" fillId="0" borderId="1" xfId="5" applyFont="1" applyBorder="1"/>
    <xf numFmtId="0" fontId="8" fillId="0" borderId="1" xfId="4" applyBorder="1" applyAlignment="1" applyProtection="1">
      <alignment horizontal="left" vertical="center" wrapText="1"/>
      <protection hidden="1"/>
    </xf>
    <xf numFmtId="0" fontId="6" fillId="4" borderId="1" xfId="7" applyFont="1" applyFill="1" applyBorder="1" applyAlignment="1" applyProtection="1">
      <alignment horizontal="center" vertical="center" wrapText="1"/>
      <protection hidden="1"/>
    </xf>
    <xf numFmtId="2" fontId="6" fillId="0" borderId="1" xfId="7" applyNumberFormat="1" applyFont="1" applyBorder="1" applyAlignment="1" applyProtection="1">
      <alignment horizontal="center" vertical="center" wrapText="1"/>
      <protection hidden="1"/>
    </xf>
    <xf numFmtId="2" fontId="6" fillId="0" borderId="1" xfId="7" applyNumberFormat="1" applyFont="1" applyBorder="1" applyAlignment="1" applyProtection="1">
      <alignment horizontal="right" vertical="center" wrapText="1"/>
      <protection locked="0"/>
    </xf>
    <xf numFmtId="0" fontId="11" fillId="0" borderId="1" xfId="1" applyFont="1" applyFill="1" applyBorder="1" applyAlignment="1">
      <alignment horizontal="center" vertical="center" wrapText="1"/>
    </xf>
    <xf numFmtId="0" fontId="11" fillId="0" borderId="1" xfId="5" applyFont="1" applyBorder="1" applyAlignment="1">
      <alignment horizontal="left" vertical="center" wrapText="1"/>
    </xf>
    <xf numFmtId="2" fontId="11" fillId="0" borderId="1" xfId="5" applyNumberFormat="1" applyFont="1" applyBorder="1" applyAlignment="1" applyProtection="1">
      <alignment horizontal="center" vertical="center" wrapText="1"/>
      <protection hidden="1"/>
    </xf>
    <xf numFmtId="0" fontId="11" fillId="0" borderId="1" xfId="2" applyFont="1" applyBorder="1" applyAlignment="1" applyProtection="1">
      <alignment vertical="center"/>
      <protection locked="0"/>
    </xf>
    <xf numFmtId="2" fontId="11" fillId="0" borderId="1" xfId="5" applyNumberFormat="1" applyFont="1" applyBorder="1" applyAlignment="1">
      <alignment horizontal="left" vertical="center" wrapText="1"/>
    </xf>
    <xf numFmtId="2" fontId="11" fillId="4" borderId="1" xfId="5" applyNumberFormat="1" applyFont="1" applyFill="1" applyBorder="1" applyAlignment="1">
      <alignment horizontal="center" vertical="center" wrapText="1"/>
    </xf>
    <xf numFmtId="0" fontId="11" fillId="0" borderId="1" xfId="5" applyFont="1" applyBorder="1" applyAlignment="1">
      <alignment vertical="center" wrapText="1"/>
    </xf>
    <xf numFmtId="0" fontId="11" fillId="0" borderId="1" xfId="2" applyFont="1" applyBorder="1" applyAlignment="1" applyProtection="1">
      <alignment vertical="center" wrapText="1"/>
      <protection locked="0"/>
    </xf>
    <xf numFmtId="0" fontId="11" fillId="4" borderId="1" xfId="2" applyFont="1" applyFill="1" applyBorder="1" applyAlignment="1" applyProtection="1">
      <alignment horizontal="center" vertical="center" wrapText="1"/>
      <protection locked="0"/>
    </xf>
    <xf numFmtId="0" fontId="11" fillId="0" borderId="1" xfId="5" applyFont="1" applyBorder="1" applyAlignment="1">
      <alignment horizontal="center" vertical="center"/>
    </xf>
    <xf numFmtId="0" fontId="11" fillId="0" borderId="1" xfId="5" applyFont="1" applyBorder="1" applyAlignment="1">
      <alignment horizontal="left" vertical="top" wrapText="1"/>
    </xf>
    <xf numFmtId="1" fontId="11" fillId="0" borderId="1" xfId="5" applyNumberFormat="1" applyFont="1" applyBorder="1" applyAlignment="1" applyProtection="1">
      <alignment horizontal="center" vertical="center" wrapText="1"/>
      <protection hidden="1"/>
    </xf>
    <xf numFmtId="1" fontId="11" fillId="0" borderId="1" xfId="2" applyNumberFormat="1" applyFont="1" applyBorder="1" applyAlignment="1" applyProtection="1">
      <alignment horizontal="center" vertical="center"/>
      <protection locked="0"/>
    </xf>
    <xf numFmtId="0" fontId="11" fillId="0" borderId="1" xfId="0" applyFont="1" applyBorder="1" applyAlignment="1">
      <alignment vertical="top"/>
    </xf>
    <xf numFmtId="164" fontId="5" fillId="0" borderId="1" xfId="0" applyNumberFormat="1" applyFont="1" applyBorder="1" applyAlignment="1" applyProtection="1">
      <alignment vertical="center" wrapText="1"/>
      <protection hidden="1"/>
    </xf>
    <xf numFmtId="0" fontId="6" fillId="0" borderId="1" xfId="0" applyFont="1" applyBorder="1" applyAlignment="1">
      <alignment horizontal="center" vertical="top"/>
    </xf>
    <xf numFmtId="0" fontId="5" fillId="0" borderId="1" xfId="0" applyFont="1" applyBorder="1" applyAlignment="1">
      <alignment horizontal="left" vertical="top"/>
    </xf>
    <xf numFmtId="1" fontId="4" fillId="0" borderId="1" xfId="0" applyNumberFormat="1" applyFont="1" applyBorder="1" applyAlignment="1" applyProtection="1">
      <alignment horizontal="center" vertical="center"/>
      <protection locked="0"/>
    </xf>
    <xf numFmtId="0" fontId="4" fillId="7" borderId="1" xfId="2" applyFont="1" applyFill="1" applyBorder="1" applyAlignment="1" applyProtection="1">
      <alignment horizontal="center"/>
      <protection locked="0"/>
    </xf>
    <xf numFmtId="0" fontId="4" fillId="7" borderId="1" xfId="2" applyFont="1" applyFill="1" applyBorder="1" applyAlignment="1" applyProtection="1">
      <alignment vertical="center" wrapText="1"/>
      <protection locked="0"/>
    </xf>
    <xf numFmtId="0" fontId="4" fillId="7" borderId="1" xfId="2" applyFont="1" applyFill="1" applyBorder="1" applyAlignment="1" applyProtection="1">
      <alignment horizontal="center" vertical="center" wrapText="1"/>
      <protection locked="0"/>
    </xf>
    <xf numFmtId="0" fontId="4" fillId="7" borderId="1" xfId="2" applyFont="1" applyFill="1" applyBorder="1" applyAlignment="1" applyProtection="1">
      <alignment vertical="center"/>
      <protection locked="0"/>
    </xf>
    <xf numFmtId="0" fontId="4" fillId="7" borderId="1" xfId="2" applyFont="1" applyFill="1" applyBorder="1" applyAlignment="1" applyProtection="1">
      <alignment horizontal="center" vertical="center"/>
      <protection locked="0"/>
    </xf>
    <xf numFmtId="164" fontId="5" fillId="7" borderId="1" xfId="0" applyNumberFormat="1" applyFont="1" applyFill="1" applyBorder="1" applyAlignment="1" applyProtection="1">
      <alignment vertical="center" wrapText="1"/>
      <protection hidden="1"/>
    </xf>
    <xf numFmtId="0" fontId="11" fillId="4" borderId="1" xfId="0" applyFont="1" applyFill="1" applyBorder="1" applyAlignment="1" applyProtection="1">
      <alignment wrapText="1"/>
    </xf>
    <xf numFmtId="0" fontId="4"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4" fillId="0" borderId="1" xfId="9" applyFont="1" applyBorder="1" applyAlignment="1" applyProtection="1">
      <alignment horizontal="left" wrapText="1"/>
      <protection hidden="1"/>
    </xf>
    <xf numFmtId="0" fontId="4" fillId="4" borderId="1" xfId="9" applyFont="1" applyFill="1" applyBorder="1" applyAlignment="1" applyProtection="1">
      <alignment horizontal="center" vertical="center" wrapText="1"/>
      <protection hidden="1"/>
    </xf>
    <xf numFmtId="0" fontId="4" fillId="7" borderId="1" xfId="2" applyFont="1" applyFill="1" applyBorder="1" applyProtection="1">
      <protection locked="0"/>
    </xf>
    <xf numFmtId="0" fontId="5" fillId="0" borderId="1" xfId="0" applyFont="1" applyBorder="1" applyAlignment="1">
      <alignment horizontal="left" vertical="center" wrapText="1"/>
    </xf>
    <xf numFmtId="0" fontId="5"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4" fillId="0" borderId="1" xfId="9" applyFont="1" applyBorder="1" applyAlignment="1">
      <alignment horizontal="center"/>
    </xf>
    <xf numFmtId="0" fontId="11" fillId="0" borderId="1" xfId="9" applyFont="1" applyBorder="1"/>
    <xf numFmtId="0" fontId="11" fillId="0" borderId="1" xfId="9" applyFont="1" applyBorder="1" applyAlignment="1">
      <alignment horizontal="center" vertical="center" wrapText="1"/>
    </xf>
    <xf numFmtId="0" fontId="4" fillId="0" borderId="1" xfId="9" applyFont="1" applyBorder="1" applyAlignment="1">
      <alignment wrapText="1"/>
    </xf>
    <xf numFmtId="0" fontId="4" fillId="0" borderId="1" xfId="9" applyFont="1" applyBorder="1" applyAlignment="1">
      <alignment horizontal="center" vertical="center" wrapText="1"/>
    </xf>
    <xf numFmtId="0" fontId="4" fillId="0" borderId="1" xfId="9" applyFont="1" applyBorder="1"/>
    <xf numFmtId="0" fontId="5" fillId="0" borderId="1" xfId="9" applyFont="1" applyBorder="1" applyAlignment="1">
      <alignment horizontal="center" wrapText="1"/>
    </xf>
    <xf numFmtId="0" fontId="5" fillId="0" borderId="1" xfId="9" applyFont="1" applyBorder="1" applyAlignment="1">
      <alignment wrapText="1"/>
    </xf>
    <xf numFmtId="0" fontId="5" fillId="0" borderId="1" xfId="9" applyFont="1" applyBorder="1" applyAlignment="1">
      <alignment horizontal="center" vertical="center" wrapText="1"/>
    </xf>
    <xf numFmtId="0" fontId="11" fillId="0" borderId="1" xfId="9" applyFont="1" applyBorder="1" applyAlignment="1" applyProtection="1">
      <alignment wrapText="1"/>
    </xf>
    <xf numFmtId="0" fontId="6" fillId="0" borderId="1" xfId="9" applyFont="1" applyBorder="1" applyAlignment="1">
      <alignment horizontal="center" wrapText="1"/>
    </xf>
    <xf numFmtId="164" fontId="5" fillId="0" borderId="1" xfId="9" applyNumberFormat="1" applyFont="1" applyBorder="1" applyAlignment="1" applyProtection="1">
      <alignment wrapText="1"/>
      <protection hidden="1"/>
    </xf>
    <xf numFmtId="0" fontId="6" fillId="0" borderId="1" xfId="9" applyFont="1" applyBorder="1" applyAlignment="1">
      <alignment wrapText="1"/>
    </xf>
    <xf numFmtId="2" fontId="5" fillId="0" borderId="1" xfId="9" applyNumberFormat="1" applyFont="1" applyBorder="1" applyAlignment="1" applyProtection="1">
      <alignment wrapText="1"/>
      <protection hidden="1"/>
    </xf>
    <xf numFmtId="0" fontId="6" fillId="0" borderId="1" xfId="9" applyFont="1" applyBorder="1" applyAlignment="1">
      <alignment horizontal="center" vertical="center" wrapText="1"/>
    </xf>
    <xf numFmtId="0" fontId="6" fillId="4" borderId="1" xfId="9" applyFont="1" applyFill="1" applyBorder="1" applyAlignment="1">
      <alignment horizontal="center" vertical="center" wrapText="1"/>
    </xf>
    <xf numFmtId="0" fontId="4" fillId="0" borderId="1" xfId="9" applyFont="1" applyBorder="1" applyAlignment="1"/>
    <xf numFmtId="0" fontId="4" fillId="4" borderId="1" xfId="9" applyFont="1" applyFill="1" applyBorder="1" applyAlignment="1">
      <alignment horizontal="center" vertical="center" wrapText="1"/>
    </xf>
    <xf numFmtId="0" fontId="15" fillId="0" borderId="1" xfId="9" applyFont="1" applyBorder="1" applyAlignment="1">
      <alignment wrapText="1"/>
    </xf>
    <xf numFmtId="0" fontId="15" fillId="0" borderId="1" xfId="9" applyFont="1" applyBorder="1" applyAlignment="1">
      <alignment horizontal="center" vertical="center" wrapText="1"/>
    </xf>
    <xf numFmtId="0" fontId="4" fillId="0" borderId="1" xfId="2" applyFont="1" applyFill="1" applyBorder="1" applyAlignment="1" applyProtection="1">
      <alignment horizontal="center"/>
      <protection locked="0"/>
    </xf>
    <xf numFmtId="0" fontId="6" fillId="0" borderId="1" xfId="9" applyFont="1" applyFill="1" applyBorder="1" applyAlignment="1">
      <alignment wrapText="1"/>
    </xf>
    <xf numFmtId="0" fontId="6" fillId="0" borderId="1" xfId="9" applyFont="1" applyFill="1" applyBorder="1" applyAlignment="1">
      <alignment horizontal="center" vertical="center" wrapText="1"/>
    </xf>
    <xf numFmtId="0" fontId="4" fillId="0" borderId="1" xfId="2" applyFont="1" applyFill="1" applyBorder="1" applyAlignment="1" applyProtection="1">
      <protection locked="0"/>
    </xf>
    <xf numFmtId="2" fontId="4" fillId="0" borderId="1" xfId="2" applyNumberFormat="1" applyFont="1" applyFill="1" applyBorder="1" applyAlignment="1" applyProtection="1">
      <alignment horizontal="center"/>
      <protection locked="0"/>
    </xf>
    <xf numFmtId="0" fontId="11" fillId="0" borderId="1" xfId="9" applyFont="1" applyBorder="1" applyAlignment="1" applyProtection="1">
      <alignment horizontal="center" vertical="center" wrapText="1"/>
    </xf>
    <xf numFmtId="2" fontId="4" fillId="0" borderId="1" xfId="2" applyNumberFormat="1" applyFont="1" applyBorder="1" applyAlignment="1" applyProtection="1">
      <protection locked="0"/>
    </xf>
    <xf numFmtId="0" fontId="5" fillId="0" borderId="1" xfId="9" applyFont="1" applyBorder="1" applyAlignment="1">
      <alignment horizontal="center" vertical="top" wrapText="1"/>
    </xf>
    <xf numFmtId="0" fontId="5" fillId="7" borderId="1" xfId="9" applyFont="1" applyFill="1" applyBorder="1" applyAlignment="1">
      <alignment horizontal="left" vertical="top" wrapText="1"/>
    </xf>
    <xf numFmtId="0" fontId="5" fillId="7" borderId="1" xfId="9" applyFont="1" applyFill="1" applyBorder="1" applyAlignment="1">
      <alignment horizontal="center" vertical="center" wrapText="1"/>
    </xf>
    <xf numFmtId="0" fontId="5" fillId="0" borderId="1" xfId="9" applyFont="1" applyBorder="1" applyAlignment="1">
      <alignment horizontal="left" vertical="top" wrapText="1"/>
    </xf>
    <xf numFmtId="2" fontId="5" fillId="0" borderId="1" xfId="9" applyNumberFormat="1" applyFont="1" applyBorder="1" applyAlignment="1" applyProtection="1">
      <alignment horizontal="center" vertical="center" wrapText="1"/>
      <protection hidden="1"/>
    </xf>
    <xf numFmtId="4" fontId="5" fillId="0" borderId="1" xfId="9" applyNumberFormat="1" applyFont="1" applyBorder="1" applyAlignment="1" applyProtection="1">
      <alignment horizontal="center" vertical="center" wrapText="1"/>
      <protection hidden="1"/>
    </xf>
    <xf numFmtId="0" fontId="5" fillId="4" borderId="1" xfId="9" applyFont="1" applyFill="1" applyBorder="1" applyAlignment="1">
      <alignment horizontal="left" vertical="top" wrapText="1"/>
    </xf>
    <xf numFmtId="0" fontId="5" fillId="4" borderId="1" xfId="9" applyFont="1" applyFill="1" applyBorder="1" applyAlignment="1">
      <alignment horizontal="center" vertical="center" wrapText="1"/>
    </xf>
    <xf numFmtId="0" fontId="11" fillId="0" borderId="1" xfId="10" applyFont="1" applyBorder="1" applyAlignment="1">
      <alignment horizontal="left" vertical="top" wrapText="1"/>
    </xf>
    <xf numFmtId="0" fontId="11" fillId="0" borderId="1" xfId="10" applyFont="1" applyBorder="1" applyAlignment="1">
      <alignment horizontal="center" vertical="center" wrapText="1"/>
    </xf>
    <xf numFmtId="0" fontId="11" fillId="0" borderId="1" xfId="10" applyFont="1" applyBorder="1" applyAlignment="1">
      <alignment wrapText="1"/>
    </xf>
    <xf numFmtId="0" fontId="4" fillId="0" borderId="1" xfId="2" applyFont="1" applyBorder="1" applyAlignment="1" applyProtection="1">
      <alignment horizontal="left" vertical="top" wrapText="1"/>
      <protection locked="0"/>
    </xf>
    <xf numFmtId="0" fontId="11" fillId="0" borderId="1" xfId="9" applyFont="1" applyBorder="1" applyAlignment="1">
      <alignment horizontal="justify" vertical="top" wrapText="1"/>
    </xf>
    <xf numFmtId="0" fontId="6" fillId="7" borderId="1" xfId="0" applyFont="1" applyFill="1" applyBorder="1" applyAlignment="1">
      <alignment horizontal="center" vertical="center" wrapText="1"/>
    </xf>
    <xf numFmtId="164" fontId="5" fillId="5" borderId="1" xfId="0" applyNumberFormat="1" applyFont="1" applyFill="1" applyBorder="1" applyAlignment="1" applyProtection="1">
      <alignment horizontal="center" vertical="center" wrapText="1"/>
      <protection hidden="1"/>
    </xf>
    <xf numFmtId="164" fontId="5" fillId="7" borderId="1" xfId="0" applyNumberFormat="1" applyFont="1" applyFill="1" applyBorder="1" applyAlignment="1" applyProtection="1">
      <alignment horizontal="center" vertical="center" wrapText="1"/>
      <protection hidden="1"/>
    </xf>
    <xf numFmtId="0" fontId="6" fillId="7" borderId="1" xfId="0" applyFont="1" applyFill="1" applyBorder="1" applyAlignment="1">
      <alignment horizontal="center" wrapText="1"/>
    </xf>
    <xf numFmtId="0" fontId="4" fillId="5" borderId="1" xfId="2" applyFont="1" applyFill="1" applyBorder="1" applyAlignment="1" applyProtection="1">
      <alignment horizontal="center" vertical="center"/>
      <protection locked="0"/>
    </xf>
    <xf numFmtId="0" fontId="4" fillId="0" borderId="0" xfId="2" applyFont="1" applyAlignment="1" applyProtection="1">
      <alignment wrapText="1"/>
      <protection locked="0"/>
    </xf>
    <xf numFmtId="0" fontId="5" fillId="7" borderId="1" xfId="0" applyFont="1" applyFill="1" applyBorder="1" applyAlignment="1">
      <alignment horizontal="center" vertical="top" wrapText="1"/>
    </xf>
    <xf numFmtId="0" fontId="4" fillId="5" borderId="0" xfId="2" applyFont="1" applyFill="1" applyProtection="1">
      <protection locked="0"/>
    </xf>
    <xf numFmtId="0" fontId="6" fillId="7" borderId="1" xfId="7" applyFont="1" applyFill="1" applyBorder="1" applyAlignment="1" applyProtection="1">
      <alignment horizontal="left" vertical="center" wrapText="1"/>
      <protection hidden="1"/>
    </xf>
    <xf numFmtId="0" fontId="6" fillId="7" borderId="1" xfId="0" applyFont="1" applyFill="1" applyBorder="1" applyAlignment="1">
      <alignment horizontal="left" wrapText="1"/>
    </xf>
    <xf numFmtId="0" fontId="4" fillId="5" borderId="1" xfId="2" applyFont="1" applyFill="1" applyBorder="1" applyAlignment="1" applyProtection="1">
      <alignment wrapText="1"/>
      <protection locked="0"/>
    </xf>
    <xf numFmtId="164" fontId="5" fillId="0" borderId="1" xfId="9" applyNumberFormat="1" applyFont="1" applyBorder="1" applyAlignment="1" applyProtection="1">
      <alignment horizontal="center" vertical="center" wrapText="1"/>
      <protection hidden="1"/>
    </xf>
    <xf numFmtId="0" fontId="4" fillId="4" borderId="1" xfId="2" applyFont="1" applyFill="1" applyBorder="1" applyAlignment="1" applyProtection="1">
      <alignment wrapText="1"/>
      <protection locked="0"/>
    </xf>
    <xf numFmtId="0" fontId="5" fillId="0" borderId="1" xfId="9" applyFont="1" applyFill="1" applyBorder="1" applyAlignment="1">
      <alignment horizontal="center" vertical="top" wrapText="1"/>
    </xf>
    <xf numFmtId="0" fontId="5" fillId="0" borderId="1" xfId="9" applyFont="1" applyFill="1" applyBorder="1" applyAlignment="1">
      <alignment horizontal="left" vertical="top" wrapText="1"/>
    </xf>
    <xf numFmtId="164" fontId="5" fillId="0" borderId="1" xfId="9" applyNumberFormat="1" applyFont="1" applyFill="1" applyBorder="1" applyAlignment="1" applyProtection="1">
      <alignment horizontal="center" vertical="center" wrapText="1"/>
      <protection hidden="1"/>
    </xf>
    <xf numFmtId="0" fontId="5" fillId="0" borderId="1" xfId="2" applyFont="1" applyBorder="1" applyAlignment="1">
      <alignment horizontal="center" vertical="center" wrapText="1"/>
    </xf>
    <xf numFmtId="0" fontId="11" fillId="0" borderId="1" xfId="9" applyFont="1" applyBorder="1" applyAlignment="1" applyProtection="1">
      <alignment vertical="center" wrapText="1"/>
    </xf>
    <xf numFmtId="4" fontId="5" fillId="0" borderId="1" xfId="2" applyNumberFormat="1" applyFont="1" applyBorder="1" applyAlignment="1">
      <alignment horizontal="center" vertical="center" wrapText="1"/>
    </xf>
    <xf numFmtId="0" fontId="5" fillId="5" borderId="1" xfId="9" applyFont="1" applyFill="1" applyBorder="1" applyAlignment="1">
      <alignment horizontal="center" vertical="top" wrapText="1"/>
    </xf>
    <xf numFmtId="0" fontId="5" fillId="5" borderId="1" xfId="9" applyFont="1" applyFill="1" applyBorder="1" applyAlignment="1">
      <alignment horizontal="left" vertical="top" wrapText="1"/>
    </xf>
    <xf numFmtId="0" fontId="5" fillId="5" borderId="1" xfId="9" applyFont="1" applyFill="1" applyBorder="1" applyAlignment="1">
      <alignment horizontal="center" vertical="center" wrapText="1"/>
    </xf>
    <xf numFmtId="0" fontId="6" fillId="5" borderId="1" xfId="9" applyFont="1" applyFill="1" applyBorder="1" applyAlignment="1">
      <alignment horizontal="center" vertical="center" wrapText="1"/>
    </xf>
    <xf numFmtId="164" fontId="5" fillId="5" borderId="1" xfId="9" applyNumberFormat="1" applyFont="1" applyFill="1" applyBorder="1" applyAlignment="1" applyProtection="1">
      <alignment horizontal="center" vertical="center" wrapText="1"/>
      <protection hidden="1"/>
    </xf>
    <xf numFmtId="0" fontId="4" fillId="5" borderId="1" xfId="2" applyFont="1" applyFill="1" applyBorder="1" applyProtection="1">
      <protection locked="0"/>
    </xf>
    <xf numFmtId="0" fontId="18" fillId="0" borderId="1" xfId="7" applyFont="1" applyBorder="1" applyAlignment="1" applyProtection="1">
      <alignment horizontal="left" vertical="center" wrapText="1"/>
      <protection hidden="1"/>
    </xf>
    <xf numFmtId="0" fontId="18" fillId="0" borderId="1" xfId="7" applyFont="1" applyBorder="1" applyAlignment="1" applyProtection="1">
      <alignment horizontal="center" vertical="center" wrapText="1"/>
      <protection hidden="1"/>
    </xf>
    <xf numFmtId="0" fontId="19" fillId="0" borderId="1" xfId="7" applyFont="1" applyBorder="1" applyAlignment="1" applyProtection="1">
      <alignment horizontal="left" vertical="center" wrapText="1"/>
      <protection hidden="1"/>
    </xf>
    <xf numFmtId="0" fontId="20" fillId="0" borderId="1" xfId="0" applyFont="1" applyBorder="1" applyAlignment="1">
      <alignment vertical="center" wrapText="1"/>
    </xf>
    <xf numFmtId="0" fontId="20" fillId="4" borderId="1" xfId="0" applyFont="1" applyFill="1" applyBorder="1" applyAlignment="1">
      <alignment horizontal="center" vertical="center" wrapText="1"/>
    </xf>
    <xf numFmtId="164" fontId="21" fillId="0" borderId="1" xfId="0" applyNumberFormat="1" applyFont="1" applyBorder="1" applyAlignment="1" applyProtection="1">
      <alignment horizontal="center" vertical="center" wrapText="1"/>
      <protection hidden="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20" fillId="0" borderId="1" xfId="2" applyFont="1" applyBorder="1" applyAlignment="1" applyProtection="1">
      <alignment horizontal="center" vertical="center"/>
      <protection locked="0"/>
    </xf>
    <xf numFmtId="0" fontId="4" fillId="8" borderId="1" xfId="2" applyFont="1" applyFill="1" applyBorder="1" applyAlignment="1" applyProtection="1">
      <alignment wrapText="1"/>
      <protection locked="0"/>
    </xf>
    <xf numFmtId="0" fontId="5" fillId="8" borderId="1" xfId="0" applyFont="1" applyFill="1" applyBorder="1" applyAlignment="1">
      <alignment horizontal="left" vertical="top" wrapText="1"/>
    </xf>
    <xf numFmtId="0" fontId="22" fillId="8" borderId="1" xfId="0" applyFont="1" applyFill="1" applyBorder="1" applyAlignment="1">
      <alignment vertical="top" wrapText="1"/>
    </xf>
    <xf numFmtId="0" fontId="22" fillId="8" borderId="1" xfId="0" applyFont="1" applyFill="1" applyBorder="1" applyAlignment="1">
      <alignment horizontal="center" vertical="center" wrapText="1"/>
    </xf>
    <xf numFmtId="0" fontId="23" fillId="8" borderId="1" xfId="0" applyFont="1" applyFill="1" applyBorder="1" applyAlignment="1">
      <alignment horizontal="left" vertical="top" wrapText="1"/>
    </xf>
    <xf numFmtId="0" fontId="22" fillId="8" borderId="1" xfId="0" applyFont="1" applyFill="1" applyBorder="1" applyAlignment="1">
      <alignment horizontal="center" vertical="top" wrapText="1"/>
    </xf>
    <xf numFmtId="0" fontId="24" fillId="8" borderId="1" xfId="0" applyFont="1" applyFill="1" applyBorder="1" applyAlignment="1">
      <alignment horizontal="center" vertical="top"/>
    </xf>
    <xf numFmtId="164" fontId="23" fillId="8" borderId="1" xfId="0" applyNumberFormat="1" applyFont="1" applyFill="1" applyBorder="1" applyAlignment="1" applyProtection="1">
      <alignment horizontal="center" vertical="top" wrapText="1"/>
      <protection hidden="1"/>
    </xf>
    <xf numFmtId="0" fontId="18" fillId="6" borderId="5" xfId="0" applyFont="1" applyFill="1" applyBorder="1" applyAlignment="1">
      <alignment wrapText="1"/>
    </xf>
    <xf numFmtId="0" fontId="18" fillId="6" borderId="6" xfId="0" applyFont="1" applyFill="1" applyBorder="1" applyAlignment="1">
      <alignment horizontal="right"/>
    </xf>
    <xf numFmtId="0" fontId="18" fillId="6" borderId="6" xfId="0" applyFont="1" applyFill="1" applyBorder="1"/>
    <xf numFmtId="0" fontId="18" fillId="4" borderId="6" xfId="0" applyFont="1" applyFill="1" applyBorder="1"/>
    <xf numFmtId="0" fontId="18" fillId="6" borderId="6" xfId="0" applyFont="1" applyFill="1" applyBorder="1" applyAlignment="1">
      <alignment horizontal="center"/>
    </xf>
    <xf numFmtId="0" fontId="18" fillId="6" borderId="6" xfId="0" applyFont="1" applyFill="1" applyBorder="1" applyAlignment="1">
      <alignment wrapText="1"/>
    </xf>
    <xf numFmtId="0" fontId="18" fillId="4" borderId="6" xfId="0" applyFont="1" applyFill="1" applyBorder="1" applyAlignment="1">
      <alignment wrapText="1"/>
    </xf>
    <xf numFmtId="0" fontId="18" fillId="6" borderId="6" xfId="0" applyFont="1" applyFill="1" applyBorder="1" applyAlignment="1">
      <alignment horizontal="center" vertical="center"/>
    </xf>
    <xf numFmtId="0" fontId="18" fillId="6" borderId="6" xfId="0" applyFont="1" applyFill="1" applyBorder="1" applyAlignment="1">
      <alignment horizontal="right" vertical="center"/>
    </xf>
    <xf numFmtId="0" fontId="18" fillId="6" borderId="7" xfId="0" applyFont="1" applyFill="1" applyBorder="1"/>
    <xf numFmtId="0" fontId="18" fillId="6" borderId="10" xfId="0" applyFont="1" applyFill="1" applyBorder="1" applyAlignment="1">
      <alignment wrapText="1"/>
    </xf>
    <xf numFmtId="0" fontId="18" fillId="6" borderId="12" xfId="0" applyFont="1" applyFill="1" applyBorder="1"/>
    <xf numFmtId="0" fontId="18" fillId="6" borderId="9" xfId="0" applyFont="1" applyFill="1" applyBorder="1" applyAlignment="1">
      <alignment wrapText="1"/>
    </xf>
    <xf numFmtId="0" fontId="18" fillId="6" borderId="15" xfId="0" applyFont="1" applyFill="1" applyBorder="1" applyAlignment="1">
      <alignment wrapText="1"/>
    </xf>
    <xf numFmtId="0" fontId="18" fillId="6" borderId="17" xfId="0" applyFont="1" applyFill="1" applyBorder="1"/>
    <xf numFmtId="0" fontId="18" fillId="6" borderId="13" xfId="0" applyFont="1" applyFill="1" applyBorder="1" applyAlignment="1">
      <alignment wrapText="1"/>
    </xf>
    <xf numFmtId="0" fontId="18" fillId="6" borderId="15" xfId="0" applyFont="1" applyFill="1" applyBorder="1" applyAlignment="1">
      <alignment horizontal="right"/>
    </xf>
    <xf numFmtId="0" fontId="18" fillId="6" borderId="15" xfId="0" applyFont="1" applyFill="1" applyBorder="1"/>
    <xf numFmtId="0" fontId="18" fillId="4" borderId="15" xfId="0" applyFont="1" applyFill="1" applyBorder="1" applyAlignment="1">
      <alignment wrapText="1"/>
    </xf>
    <xf numFmtId="0" fontId="18" fillId="6" borderId="15" xfId="0" applyFont="1" applyFill="1" applyBorder="1" applyAlignment="1">
      <alignment horizontal="center"/>
    </xf>
    <xf numFmtId="0" fontId="18" fillId="6" borderId="15" xfId="0" applyFont="1" applyFill="1" applyBorder="1" applyAlignment="1">
      <alignment horizontal="center" vertical="center"/>
    </xf>
    <xf numFmtId="0" fontId="18" fillId="6" borderId="15" xfId="0" applyFont="1" applyFill="1" applyBorder="1" applyAlignment="1">
      <alignment horizontal="right" vertical="center"/>
    </xf>
    <xf numFmtId="0" fontId="18" fillId="6" borderId="18" xfId="0" applyFont="1" applyFill="1" applyBorder="1"/>
    <xf numFmtId="0" fontId="18" fillId="4" borderId="15" xfId="0" applyFont="1" applyFill="1" applyBorder="1" applyAlignment="1">
      <alignment horizontal="center" vertical="center" wrapText="1"/>
    </xf>
    <xf numFmtId="0" fontId="18" fillId="6" borderId="19" xfId="0" applyFont="1" applyFill="1" applyBorder="1" applyAlignment="1">
      <alignment wrapText="1"/>
    </xf>
    <xf numFmtId="0" fontId="18" fillId="6" borderId="20" xfId="0" applyFont="1" applyFill="1" applyBorder="1" applyAlignment="1">
      <alignment horizontal="right"/>
    </xf>
    <xf numFmtId="0" fontId="18" fillId="6" borderId="20" xfId="0" applyFont="1" applyFill="1" applyBorder="1"/>
    <xf numFmtId="0" fontId="18" fillId="4" borderId="20" xfId="0" applyFont="1" applyFill="1" applyBorder="1"/>
    <xf numFmtId="0" fontId="18" fillId="6" borderId="20" xfId="0" applyFont="1" applyFill="1" applyBorder="1" applyAlignment="1">
      <alignment horizontal="center"/>
    </xf>
    <xf numFmtId="0" fontId="18" fillId="6" borderId="20" xfId="0" applyFont="1" applyFill="1" applyBorder="1" applyAlignment="1">
      <alignment wrapText="1"/>
    </xf>
    <xf numFmtId="0" fontId="18" fillId="4" borderId="20" xfId="0" applyFont="1" applyFill="1" applyBorder="1" applyAlignment="1">
      <alignment wrapText="1"/>
    </xf>
    <xf numFmtId="0" fontId="18" fillId="6" borderId="20" xfId="0" applyFont="1" applyFill="1" applyBorder="1" applyAlignment="1">
      <alignment horizontal="center" vertical="center"/>
    </xf>
    <xf numFmtId="0" fontId="18" fillId="6" borderId="20" xfId="0" applyFont="1" applyFill="1" applyBorder="1" applyAlignment="1">
      <alignment horizontal="right" vertical="center"/>
    </xf>
    <xf numFmtId="0" fontId="0" fillId="6" borderId="21" xfId="0" applyFill="1" applyBorder="1"/>
    <xf numFmtId="0" fontId="4" fillId="0" borderId="0" xfId="2" applyFont="1" applyAlignment="1" applyProtection="1">
      <alignment horizontal="center"/>
      <protection locked="0"/>
    </xf>
    <xf numFmtId="0" fontId="4" fillId="0" borderId="0" xfId="2" applyFont="1" applyAlignment="1" applyProtection="1">
      <alignment horizontal="center" vertical="center" wrapText="1"/>
      <protection locked="0"/>
    </xf>
    <xf numFmtId="2" fontId="4" fillId="0" borderId="0" xfId="2" applyNumberFormat="1" applyFont="1" applyAlignment="1" applyProtection="1">
      <alignment horizontal="center" vertical="center"/>
      <protection locked="0"/>
    </xf>
    <xf numFmtId="0" fontId="4" fillId="0" borderId="0" xfId="2" applyFont="1" applyAlignment="1" applyProtection="1">
      <alignment horizontal="center" vertical="center"/>
      <protection locked="0"/>
    </xf>
    <xf numFmtId="0" fontId="4" fillId="0" borderId="0" xfId="2" applyFont="1" applyAlignment="1" applyProtection="1">
      <alignment vertical="center"/>
      <protection locked="0"/>
    </xf>
    <xf numFmtId="0" fontId="18" fillId="5" borderId="19" xfId="0" applyFont="1" applyFill="1" applyBorder="1" applyAlignment="1">
      <alignment wrapText="1"/>
    </xf>
    <xf numFmtId="0" fontId="6" fillId="0" borderId="1" xfId="7" applyFont="1" applyFill="1" applyBorder="1" applyAlignment="1" applyProtection="1">
      <alignment horizontal="center" vertical="center" wrapText="1"/>
      <protection hidden="1"/>
    </xf>
    <xf numFmtId="0" fontId="6" fillId="0" borderId="1" xfId="7" applyFont="1" applyFill="1" applyBorder="1" applyAlignment="1" applyProtection="1">
      <alignment horizontal="left" vertical="center" wrapText="1"/>
      <protection hidden="1"/>
    </xf>
    <xf numFmtId="2" fontId="6" fillId="0" borderId="1" xfId="7" applyNumberFormat="1" applyFont="1" applyFill="1" applyBorder="1" applyAlignment="1" applyProtection="1">
      <alignment horizontal="center" vertical="center" wrapText="1"/>
      <protection hidden="1"/>
    </xf>
    <xf numFmtId="2" fontId="6" fillId="0" borderId="1" xfId="7" applyNumberFormat="1" applyFont="1" applyFill="1" applyBorder="1" applyAlignment="1" applyProtection="1">
      <alignment horizontal="right" vertical="center" wrapText="1"/>
      <protection locked="0"/>
    </xf>
    <xf numFmtId="0" fontId="5" fillId="0" borderId="1" xfId="5" applyFont="1" applyFill="1" applyBorder="1" applyAlignment="1">
      <alignment vertical="top" wrapText="1"/>
    </xf>
    <xf numFmtId="0" fontId="6" fillId="0" borderId="1" xfId="5" applyFont="1" applyFill="1" applyBorder="1" applyAlignment="1">
      <alignment vertical="center" wrapText="1"/>
    </xf>
    <xf numFmtId="164" fontId="5" fillId="0" borderId="1" xfId="5" applyNumberFormat="1" applyFont="1" applyFill="1" applyBorder="1" applyAlignment="1" applyProtection="1">
      <alignment vertical="center" wrapText="1"/>
      <protection hidden="1"/>
    </xf>
    <xf numFmtId="0" fontId="4" fillId="0" borderId="1" xfId="2" applyFont="1" applyFill="1" applyBorder="1" applyAlignment="1" applyProtection="1">
      <alignment horizontal="left" vertical="center"/>
      <protection locked="0"/>
    </xf>
    <xf numFmtId="0" fontId="4" fillId="0" borderId="1" xfId="2" applyFont="1" applyFill="1" applyBorder="1" applyAlignment="1" applyProtection="1">
      <alignment horizontal="left" vertical="center" wrapText="1"/>
      <protection locked="0"/>
    </xf>
    <xf numFmtId="2" fontId="4" fillId="0" borderId="1" xfId="2" applyNumberFormat="1" applyFont="1" applyFill="1" applyBorder="1" applyAlignment="1" applyProtection="1">
      <alignment horizontal="center" vertical="center" wrapText="1"/>
      <protection locked="0"/>
    </xf>
    <xf numFmtId="2" fontId="4" fillId="0" borderId="1" xfId="2" applyNumberFormat="1" applyFont="1" applyFill="1" applyBorder="1" applyAlignment="1" applyProtection="1">
      <alignment horizontal="right" vertical="center" wrapText="1"/>
      <protection locked="0"/>
    </xf>
    <xf numFmtId="2" fontId="4" fillId="0" borderId="1" xfId="2" applyNumberFormat="1" applyFont="1" applyFill="1" applyBorder="1" applyAlignment="1" applyProtection="1">
      <alignment horizontal="right" vertical="center"/>
      <protection locked="0"/>
    </xf>
    <xf numFmtId="2" fontId="4" fillId="4" borderId="1" xfId="2" applyNumberFormat="1" applyFont="1" applyFill="1" applyBorder="1" applyAlignment="1" applyProtection="1">
      <alignment horizontal="center" vertical="center"/>
      <protection locked="0"/>
    </xf>
    <xf numFmtId="0" fontId="4" fillId="0" borderId="1" xfId="2" applyFont="1" applyFill="1" applyBorder="1" applyAlignment="1" applyProtection="1">
      <alignment horizontal="left" vertical="top" wrapText="1"/>
      <protection locked="0"/>
    </xf>
    <xf numFmtId="2" fontId="5" fillId="0" borderId="1" xfId="9" applyNumberFormat="1" applyFont="1" applyFill="1" applyBorder="1" applyAlignment="1" applyProtection="1">
      <alignment horizontal="center" vertical="center" wrapText="1"/>
      <protection hidden="1"/>
    </xf>
    <xf numFmtId="4" fontId="5" fillId="0" borderId="1" xfId="9" applyNumberFormat="1" applyFont="1" applyFill="1" applyBorder="1" applyAlignment="1" applyProtection="1">
      <alignment horizontal="center" vertical="center" wrapText="1"/>
      <protection hidden="1"/>
    </xf>
    <xf numFmtId="0" fontId="5" fillId="0" borderId="1" xfId="9" applyFont="1" applyFill="1" applyBorder="1" applyAlignment="1">
      <alignment horizontal="center" vertical="center" wrapText="1"/>
    </xf>
    <xf numFmtId="164" fontId="17" fillId="4" borderId="1" xfId="0" applyNumberFormat="1" applyFont="1" applyFill="1" applyBorder="1" applyAlignment="1" applyProtection="1">
      <alignment horizontal="center" vertical="center" wrapText="1"/>
      <protection hidden="1"/>
    </xf>
    <xf numFmtId="0" fontId="4" fillId="4" borderId="1" xfId="2" applyFont="1" applyFill="1" applyBorder="1" applyAlignment="1" applyProtection="1">
      <alignment horizontal="center" vertical="center"/>
      <protection locked="0"/>
    </xf>
    <xf numFmtId="0" fontId="6" fillId="4" borderId="1" xfId="0" applyFont="1" applyFill="1" applyBorder="1" applyAlignment="1">
      <alignment horizontal="center" wrapText="1"/>
    </xf>
    <xf numFmtId="0" fontId="4" fillId="0" borderId="0" xfId="2" applyFont="1" applyFill="1" applyAlignment="1" applyProtection="1">
      <alignment wrapText="1"/>
      <protection locked="0"/>
    </xf>
    <xf numFmtId="0" fontId="6" fillId="0" borderId="1" xfId="0" applyFont="1" applyFill="1" applyBorder="1" applyAlignment="1">
      <alignment horizontal="center" wrapText="1"/>
    </xf>
    <xf numFmtId="0" fontId="11" fillId="0" borderId="1" xfId="0" applyFont="1" applyBorder="1" applyAlignment="1" applyProtection="1">
      <alignment horizontal="center" vertical="center" wrapText="1"/>
    </xf>
    <xf numFmtId="0" fontId="5"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5" fillId="0" borderId="1" xfId="5"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9" applyFont="1" applyFill="1" applyBorder="1" applyAlignment="1">
      <alignment horizontal="left" vertical="center" wrapText="1"/>
    </xf>
    <xf numFmtId="0" fontId="5" fillId="0" borderId="1" xfId="9" applyFont="1" applyFill="1" applyBorder="1" applyAlignment="1">
      <alignment horizontal="left" vertical="center" wrapText="1"/>
    </xf>
    <xf numFmtId="2" fontId="5" fillId="0" borderId="1" xfId="5" applyNumberFormat="1" applyFont="1" applyFill="1" applyBorder="1" applyAlignment="1" applyProtection="1">
      <alignment horizontal="center" vertical="center" wrapText="1"/>
      <protection hidden="1"/>
    </xf>
    <xf numFmtId="2" fontId="6" fillId="0" borderId="1" xfId="7" applyNumberFormat="1" applyFont="1" applyFill="1" applyBorder="1" applyAlignment="1" applyProtection="1">
      <alignment horizontal="center" vertical="center" wrapText="1"/>
      <protection locked="0"/>
    </xf>
    <xf numFmtId="164" fontId="5" fillId="0" borderId="1" xfId="9" applyNumberFormat="1" applyFont="1" applyFill="1" applyBorder="1" applyAlignment="1" applyProtection="1">
      <alignment horizontal="center" wrapText="1"/>
      <protection hidden="1"/>
    </xf>
    <xf numFmtId="2" fontId="5" fillId="0" borderId="1" xfId="9" applyNumberFormat="1" applyFont="1" applyFill="1" applyBorder="1" applyAlignment="1" applyProtection="1">
      <alignment horizontal="center" wrapText="1"/>
      <protection hidden="1"/>
    </xf>
    <xf numFmtId="0" fontId="2" fillId="0" borderId="1" xfId="2" applyFont="1" applyFill="1" applyBorder="1" applyAlignment="1">
      <alignment horizontal="center" vertical="center" wrapText="1"/>
    </xf>
    <xf numFmtId="0" fontId="6" fillId="0" borderId="1" xfId="0" applyFont="1" applyFill="1" applyBorder="1" applyAlignment="1">
      <alignment wrapText="1"/>
    </xf>
    <xf numFmtId="0" fontId="3" fillId="0" borderId="0" xfId="2" applyFont="1" applyFill="1" applyProtection="1">
      <protection locked="0"/>
    </xf>
    <xf numFmtId="0" fontId="11" fillId="0" borderId="1" xfId="9" applyFont="1" applyFill="1" applyBorder="1" applyAlignment="1">
      <alignment horizontal="left" vertical="center" wrapText="1"/>
    </xf>
    <xf numFmtId="0" fontId="11" fillId="0" borderId="1" xfId="5" applyFont="1" applyFill="1" applyBorder="1" applyAlignment="1">
      <alignment horizontal="left" vertical="center" wrapText="1"/>
    </xf>
    <xf numFmtId="0" fontId="11" fillId="0" borderId="1" xfId="5" applyFont="1" applyFill="1" applyBorder="1" applyAlignment="1">
      <alignment horizontal="center" vertical="center" wrapText="1"/>
    </xf>
    <xf numFmtId="2" fontId="11" fillId="0" borderId="1" xfId="5" applyNumberFormat="1" applyFont="1" applyFill="1" applyBorder="1" applyAlignment="1" applyProtection="1">
      <alignment horizontal="center" vertical="center" wrapText="1"/>
      <protection hidden="1"/>
    </xf>
    <xf numFmtId="2" fontId="11" fillId="0" borderId="1" xfId="5" applyNumberFormat="1" applyFont="1" applyFill="1" applyBorder="1" applyAlignment="1">
      <alignment horizontal="left" vertical="center" wrapText="1"/>
    </xf>
    <xf numFmtId="0" fontId="4" fillId="0" borderId="1" xfId="9" applyFont="1" applyFill="1" applyBorder="1" applyAlignment="1">
      <alignment horizontal="left" vertical="center" wrapText="1"/>
    </xf>
    <xf numFmtId="0" fontId="15" fillId="0" borderId="1" xfId="9" applyFont="1" applyFill="1" applyBorder="1" applyAlignment="1">
      <alignment horizontal="left" vertical="center" wrapText="1"/>
    </xf>
    <xf numFmtId="0" fontId="11" fillId="0" borderId="1" xfId="9" applyFont="1" applyFill="1" applyBorder="1" applyAlignment="1" applyProtection="1">
      <alignment horizontal="left" vertical="center" wrapText="1"/>
    </xf>
    <xf numFmtId="0" fontId="11" fillId="0" borderId="1" xfId="0" applyFont="1" applyFill="1" applyBorder="1" applyAlignment="1" applyProtection="1">
      <alignment horizontal="left" wrapText="1"/>
    </xf>
    <xf numFmtId="0" fontId="4" fillId="0" borderId="1" xfId="2" applyFont="1" applyFill="1" applyBorder="1" applyAlignment="1" applyProtection="1">
      <alignment horizontal="left" wrapText="1"/>
      <protection locked="0"/>
    </xf>
    <xf numFmtId="0" fontId="11" fillId="0" borderId="1" xfId="2" applyFont="1" applyFill="1" applyBorder="1" applyAlignment="1" applyProtection="1">
      <alignment horizontal="left" vertical="center" wrapText="1"/>
      <protection locked="0"/>
    </xf>
    <xf numFmtId="0" fontId="11" fillId="0" borderId="1" xfId="5" applyFont="1" applyFill="1" applyBorder="1" applyAlignment="1">
      <alignment horizontal="center" vertical="center"/>
    </xf>
    <xf numFmtId="0" fontId="5" fillId="0" borderId="1" xfId="2" applyFont="1" applyFill="1" applyBorder="1" applyAlignment="1">
      <alignment horizontal="center" vertical="center" wrapText="1"/>
    </xf>
    <xf numFmtId="4" fontId="5" fillId="0" borderId="1" xfId="2" applyNumberFormat="1" applyFont="1" applyFill="1" applyBorder="1" applyAlignment="1">
      <alignment horizontal="center" vertical="center" wrapText="1"/>
    </xf>
    <xf numFmtId="1" fontId="11" fillId="0" borderId="1" xfId="2" applyNumberFormat="1" applyFont="1" applyFill="1" applyBorder="1" applyAlignment="1" applyProtection="1">
      <alignment horizontal="center" vertical="center"/>
      <protection locked="0"/>
    </xf>
    <xf numFmtId="0" fontId="11" fillId="0" borderId="1" xfId="10" applyFont="1" applyFill="1" applyBorder="1" applyAlignment="1">
      <alignment horizontal="left" vertical="center" wrapText="1"/>
    </xf>
    <xf numFmtId="0" fontId="5" fillId="0" borderId="1" xfId="9" applyFont="1" applyFill="1" applyBorder="1" applyAlignment="1">
      <alignment horizontal="center" wrapText="1"/>
    </xf>
    <xf numFmtId="0" fontId="6" fillId="0" borderId="1" xfId="9" applyFont="1" applyFill="1" applyBorder="1" applyAlignment="1">
      <alignment horizontal="center" wrapText="1"/>
    </xf>
    <xf numFmtId="0" fontId="6" fillId="0" borderId="1" xfId="0" applyFont="1" applyFill="1" applyBorder="1" applyAlignment="1">
      <alignment horizontal="right"/>
    </xf>
    <xf numFmtId="0" fontId="6" fillId="0" borderId="1" xfId="0" applyFont="1" applyFill="1" applyBorder="1" applyAlignment="1">
      <alignment horizontal="left"/>
    </xf>
    <xf numFmtId="0" fontId="6" fillId="0" borderId="1" xfId="0" applyFont="1" applyFill="1" applyBorder="1" applyAlignment="1">
      <alignment horizontal="left" wrapText="1"/>
    </xf>
    <xf numFmtId="0" fontId="6" fillId="0" borderId="1" xfId="0" applyFont="1" applyFill="1" applyBorder="1" applyAlignment="1">
      <alignment horizontal="center" vertical="center"/>
    </xf>
    <xf numFmtId="0" fontId="6" fillId="0" borderId="1" xfId="0" applyFont="1" applyFill="1" applyBorder="1" applyAlignment="1"/>
    <xf numFmtId="0" fontId="6" fillId="0" borderId="1" xfId="0" applyFont="1" applyFill="1" applyBorder="1" applyAlignment="1">
      <alignment vertical="top" wrapText="1"/>
    </xf>
    <xf numFmtId="1" fontId="11" fillId="0" borderId="1" xfId="5" applyNumberFormat="1" applyFont="1" applyFill="1" applyBorder="1" applyAlignment="1" applyProtection="1">
      <alignment horizontal="center" vertical="center" wrapText="1"/>
      <protection hidden="1"/>
    </xf>
    <xf numFmtId="0" fontId="13" fillId="0" borderId="1" xfId="0" applyFont="1" applyFill="1" applyBorder="1" applyAlignment="1">
      <alignment horizontal="left" vertical="center" wrapText="1"/>
    </xf>
    <xf numFmtId="1" fontId="11" fillId="0" borderId="1" xfId="6" applyNumberFormat="1" applyFont="1" applyFill="1" applyBorder="1" applyAlignment="1" applyProtection="1">
      <alignment horizontal="left" vertical="center" wrapText="1"/>
      <protection hidden="1"/>
    </xf>
    <xf numFmtId="0" fontId="11" fillId="0" borderId="1" xfId="2" applyFont="1" applyFill="1" applyBorder="1" applyAlignment="1" applyProtection="1">
      <alignment horizontal="left" vertical="center" wrapText="1"/>
      <protection hidden="1"/>
    </xf>
    <xf numFmtId="0" fontId="5" fillId="0" borderId="1" xfId="8" applyFont="1" applyFill="1" applyBorder="1" applyAlignment="1">
      <alignment horizontal="left" vertical="center" wrapText="1"/>
    </xf>
    <xf numFmtId="0" fontId="4" fillId="0" borderId="1" xfId="0" applyFont="1" applyFill="1" applyBorder="1" applyAlignment="1">
      <alignment horizontal="center" vertical="center"/>
    </xf>
    <xf numFmtId="164" fontId="5" fillId="0" borderId="1" xfId="0" applyNumberFormat="1" applyFont="1" applyFill="1" applyBorder="1" applyAlignment="1" applyProtection="1">
      <alignment horizontal="center" vertical="top" wrapText="1"/>
      <protection hidden="1"/>
    </xf>
    <xf numFmtId="0" fontId="6" fillId="0" borderId="1" xfId="0" applyFont="1" applyFill="1" applyBorder="1" applyAlignment="1">
      <alignment horizontal="center" vertical="top" wrapText="1"/>
    </xf>
    <xf numFmtId="0" fontId="4" fillId="0" borderId="1" xfId="9" applyFont="1" applyFill="1" applyBorder="1" applyAlignment="1" applyProtection="1">
      <alignment horizontal="left" vertical="center" wrapText="1"/>
      <protection hidden="1"/>
    </xf>
    <xf numFmtId="0" fontId="11" fillId="0" borderId="1" xfId="0" applyFont="1" applyFill="1" applyBorder="1" applyAlignment="1" applyProtection="1">
      <alignment horizontal="center" vertical="center" wrapText="1"/>
    </xf>
    <xf numFmtId="0" fontId="4" fillId="0" borderId="1" xfId="9" applyFont="1" applyFill="1" applyBorder="1" applyAlignment="1">
      <alignment horizontal="center"/>
    </xf>
    <xf numFmtId="0" fontId="4" fillId="0" borderId="1" xfId="9" applyFont="1" applyFill="1" applyBorder="1" applyAlignment="1">
      <alignment horizontal="center" vertical="center"/>
    </xf>
    <xf numFmtId="0" fontId="4" fillId="0" borderId="0" xfId="2" applyFont="1" applyFill="1" applyAlignment="1" applyProtection="1">
      <alignment horizontal="center"/>
      <protection locked="0"/>
    </xf>
    <xf numFmtId="0" fontId="4" fillId="0" borderId="0" xfId="2" applyFont="1" applyFill="1" applyAlignment="1" applyProtection="1">
      <alignment horizontal="left" vertical="center" wrapText="1"/>
      <protection locked="0"/>
    </xf>
    <xf numFmtId="0" fontId="4" fillId="0" borderId="0" xfId="2" applyFont="1" applyFill="1" applyAlignment="1" applyProtection="1">
      <alignment horizontal="center" vertical="center"/>
      <protection locked="0"/>
    </xf>
    <xf numFmtId="43" fontId="3" fillId="0" borderId="0" xfId="11" applyFont="1" applyFill="1" applyProtection="1">
      <protection locked="0"/>
    </xf>
    <xf numFmtId="43" fontId="3" fillId="0" borderId="1" xfId="11" applyFont="1" applyFill="1" applyBorder="1" applyProtection="1">
      <protection locked="0"/>
    </xf>
    <xf numFmtId="0" fontId="2" fillId="9" borderId="1" xfId="2" applyFont="1" applyFill="1" applyBorder="1" applyAlignment="1">
      <alignment horizontal="center" vertical="center" wrapText="1"/>
    </xf>
    <xf numFmtId="0" fontId="2" fillId="9" borderId="1" xfId="0" applyFont="1" applyFill="1" applyBorder="1" applyAlignment="1">
      <alignment horizontal="center" vertical="center" wrapText="1"/>
    </xf>
    <xf numFmtId="4" fontId="2" fillId="9" borderId="1" xfId="2" applyNumberFormat="1" applyFont="1" applyFill="1" applyBorder="1" applyAlignment="1">
      <alignment horizontal="center" vertical="center" wrapText="1"/>
    </xf>
    <xf numFmtId="4" fontId="3" fillId="9" borderId="1" xfId="2" applyNumberFormat="1" applyFont="1" applyFill="1" applyBorder="1" applyAlignment="1" applyProtection="1">
      <alignment horizontal="center" vertical="center" wrapText="1"/>
      <protection locked="0"/>
    </xf>
    <xf numFmtId="0" fontId="4" fillId="9" borderId="1" xfId="2" applyFont="1" applyFill="1" applyBorder="1" applyAlignment="1" applyProtection="1">
      <alignment horizontal="center" vertical="center" wrapText="1"/>
      <protection locked="0"/>
    </xf>
    <xf numFmtId="0" fontId="6" fillId="9" borderId="1" xfId="0" applyFont="1" applyFill="1" applyBorder="1" applyAlignment="1">
      <alignment horizontal="center" vertical="center" wrapText="1"/>
    </xf>
    <xf numFmtId="0" fontId="3" fillId="9" borderId="0" xfId="2" applyFont="1" applyFill="1" applyAlignment="1" applyProtection="1">
      <alignment horizontal="center" vertical="center" wrapText="1"/>
      <protection locked="0"/>
    </xf>
    <xf numFmtId="0" fontId="3" fillId="9" borderId="0" xfId="2" applyFont="1" applyFill="1" applyAlignment="1" applyProtection="1">
      <alignment horizontal="center" vertical="center"/>
      <protection locked="0"/>
    </xf>
    <xf numFmtId="0" fontId="3" fillId="9" borderId="1" xfId="2" applyFont="1" applyFill="1" applyBorder="1" applyAlignment="1" applyProtection="1">
      <alignment horizontal="center" vertical="center"/>
      <protection locked="0"/>
    </xf>
    <xf numFmtId="0" fontId="5" fillId="4" borderId="1" xfId="9" applyFont="1" applyFill="1" applyBorder="1" applyAlignment="1">
      <alignment horizontal="left" vertical="center" wrapText="1"/>
    </xf>
    <xf numFmtId="0" fontId="5" fillId="4" borderId="1" xfId="5" applyFont="1" applyFill="1" applyBorder="1" applyAlignment="1">
      <alignment horizontal="left" vertical="center" wrapText="1"/>
    </xf>
    <xf numFmtId="0" fontId="11" fillId="4" borderId="1" xfId="5" applyFont="1" applyFill="1" applyBorder="1" applyAlignment="1">
      <alignment horizontal="left" vertical="center" wrapText="1"/>
    </xf>
    <xf numFmtId="0" fontId="4" fillId="4" borderId="1" xfId="9" applyFont="1" applyFill="1" applyBorder="1" applyAlignment="1">
      <alignment horizontal="left" vertical="center" wrapText="1"/>
    </xf>
    <xf numFmtId="0" fontId="4" fillId="5" borderId="1" xfId="2" applyFont="1" applyFill="1" applyBorder="1" applyAlignment="1" applyProtection="1">
      <alignment horizontal="center"/>
      <protection locked="0"/>
    </xf>
    <xf numFmtId="0" fontId="4" fillId="5" borderId="1" xfId="2" applyFont="1" applyFill="1" applyBorder="1" applyAlignment="1" applyProtection="1">
      <alignment horizontal="left" vertical="center" wrapText="1"/>
      <protection locked="0"/>
    </xf>
    <xf numFmtId="0" fontId="6" fillId="5"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6" fillId="4" borderId="1" xfId="9"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7" applyFont="1" applyFill="1" applyBorder="1" applyAlignment="1" applyProtection="1">
      <alignment horizontal="left" vertical="center" wrapText="1"/>
      <protection hidden="1"/>
    </xf>
    <xf numFmtId="0" fontId="5" fillId="10" borderId="1" xfId="0" applyFont="1" applyFill="1" applyBorder="1" applyAlignment="1">
      <alignment horizontal="center" vertical="top" wrapText="1"/>
    </xf>
    <xf numFmtId="164" fontId="21" fillId="0" borderId="11" xfId="0" applyNumberFormat="1" applyFont="1" applyBorder="1" applyAlignment="1" applyProtection="1">
      <alignment horizontal="center" vertical="center" wrapText="1"/>
      <protection hidden="1"/>
    </xf>
    <xf numFmtId="164" fontId="21" fillId="0" borderId="16" xfId="0" applyNumberFormat="1" applyFont="1" applyBorder="1" applyAlignment="1" applyProtection="1">
      <alignment horizontal="center" vertical="center" wrapText="1"/>
      <protection hidden="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2" xfId="5" applyFont="1" applyFill="1" applyBorder="1" applyAlignment="1">
      <alignment horizontal="center" vertical="center" wrapText="1"/>
    </xf>
    <xf numFmtId="0" fontId="5" fillId="4" borderId="3" xfId="5" applyFont="1" applyFill="1" applyBorder="1" applyAlignment="1">
      <alignment horizontal="center" vertical="center" wrapText="1"/>
    </xf>
    <xf numFmtId="0" fontId="4" fillId="4" borderId="2" xfId="2" applyFont="1" applyFill="1" applyBorder="1" applyAlignment="1" applyProtection="1">
      <alignment horizontal="center" vertical="center"/>
      <protection locked="0"/>
    </xf>
    <xf numFmtId="0" fontId="4" fillId="4" borderId="3" xfId="2" applyFont="1" applyFill="1" applyBorder="1" applyAlignment="1" applyProtection="1">
      <alignment horizontal="center" vertical="center"/>
      <protection locked="0"/>
    </xf>
    <xf numFmtId="0" fontId="4" fillId="0" borderId="4" xfId="2" applyFont="1" applyBorder="1" applyAlignment="1" applyProtection="1">
      <alignment horizontal="center"/>
      <protection locked="0"/>
    </xf>
    <xf numFmtId="0" fontId="18" fillId="4" borderId="9" xfId="0" applyFont="1" applyFill="1" applyBorder="1" applyAlignment="1">
      <alignment horizontal="center" wrapText="1"/>
    </xf>
    <xf numFmtId="0" fontId="18" fillId="4" borderId="14" xfId="0" applyFont="1" applyFill="1" applyBorder="1" applyAlignment="1">
      <alignment horizontal="center" wrapText="1"/>
    </xf>
    <xf numFmtId="0" fontId="18" fillId="6" borderId="9" xfId="0" applyFont="1" applyFill="1" applyBorder="1" applyAlignment="1">
      <alignment horizontal="center" vertical="top" wrapText="1"/>
    </xf>
    <xf numFmtId="0" fontId="18" fillId="6" borderId="14" xfId="0" applyFont="1" applyFill="1" applyBorder="1" applyAlignment="1">
      <alignment horizontal="center" vertical="top" wrapText="1"/>
    </xf>
    <xf numFmtId="0" fontId="18" fillId="6" borderId="8" xfId="0" applyFont="1" applyFill="1" applyBorder="1" applyAlignment="1">
      <alignment wrapText="1"/>
    </xf>
    <xf numFmtId="0" fontId="18" fillId="6" borderId="13" xfId="0" applyFont="1" applyFill="1" applyBorder="1" applyAlignment="1">
      <alignment wrapText="1"/>
    </xf>
    <xf numFmtId="0" fontId="18" fillId="6" borderId="9" xfId="0" applyFont="1" applyFill="1" applyBorder="1"/>
    <xf numFmtId="0" fontId="18" fillId="6" borderId="14" xfId="0" applyFont="1" applyFill="1" applyBorder="1"/>
    <xf numFmtId="0" fontId="18" fillId="6" borderId="9" xfId="0" applyFont="1" applyFill="1" applyBorder="1" applyAlignment="1">
      <alignment wrapText="1"/>
    </xf>
    <xf numFmtId="0" fontId="18" fillId="6" borderId="14" xfId="0" applyFont="1" applyFill="1" applyBorder="1" applyAlignment="1">
      <alignment wrapText="1"/>
    </xf>
  </cellXfs>
  <cellStyles count="12">
    <cellStyle name="Bad" xfId="1" builtinId="27"/>
    <cellStyle name="Comma" xfId="11" builtinId="3"/>
    <cellStyle name="Finalizat" xfId="3" xr:uid="{00000000-0005-0000-0000-000000000000}"/>
    <cellStyle name="Hyperlink" xfId="4" builtinId="8"/>
    <cellStyle name="Normal" xfId="0" builtinId="0"/>
    <cellStyle name="Normal 2" xfId="2" xr:uid="{00000000-0005-0000-0000-000001000000}"/>
    <cellStyle name="Normal 2 2 3" xfId="9" xr:uid="{00000000-0005-0000-0000-000002000000}"/>
    <cellStyle name="Normal 3" xfId="5" xr:uid="{00000000-0005-0000-0000-000003000000}"/>
    <cellStyle name="Normal 3 3" xfId="10" xr:uid="{00000000-0005-0000-0000-000004000000}"/>
    <cellStyle name="Normal 7" xfId="7" xr:uid="{00000000-0005-0000-0000-000005000000}"/>
    <cellStyle name="Обычный 2" xfId="8" xr:uid="{00000000-0005-0000-0000-000008000000}"/>
    <cellStyle name="Обычный 5" xfId="6"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ofmedica.com/ro/products/single-use-broncofle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Q264"/>
  <sheetViews>
    <sheetView zoomScale="85" zoomScaleNormal="85" workbookViewId="0">
      <pane ySplit="1" topLeftCell="A2" activePane="bottomLeft" state="frozen"/>
      <selection pane="bottomLeft" activeCell="B277" sqref="B277"/>
    </sheetView>
  </sheetViews>
  <sheetFormatPr defaultColWidth="9.140625" defaultRowHeight="41.25" customHeight="1" x14ac:dyDescent="0.25"/>
  <cols>
    <col min="1" max="1" width="35.42578125" style="197" customWidth="1"/>
    <col min="2" max="2" width="8.85546875" style="268" customWidth="1"/>
    <col min="3" max="3" width="21.28515625" style="31" customWidth="1"/>
    <col min="4" max="4" width="13.42578125" style="269" customWidth="1"/>
    <col min="5" max="5" width="10.42578125" style="197" customWidth="1"/>
    <col min="6" max="6" width="27.5703125" style="197" customWidth="1"/>
    <col min="7" max="7" width="42.85546875" style="269" customWidth="1"/>
    <col min="8" max="8" width="9.5703125" style="268" customWidth="1"/>
    <col min="9" max="9" width="10.42578125" style="270" customWidth="1"/>
    <col min="10" max="10" width="9.5703125" style="268" customWidth="1"/>
    <col min="11" max="11" width="10.42578125" style="270" customWidth="1"/>
    <col min="12" max="12" width="16.140625" style="271" customWidth="1"/>
    <col min="13" max="13" width="16.5703125" style="272" customWidth="1"/>
    <col min="14" max="14" width="42" style="31" customWidth="1"/>
    <col min="15" max="15" width="15.7109375" style="197" customWidth="1"/>
    <col min="16" max="16" width="24.28515625" style="31" customWidth="1"/>
    <col min="17" max="16384" width="9.140625" style="31"/>
  </cols>
  <sheetData>
    <row r="1" spans="1:16" s="9" customFormat="1" ht="41.25" customHeight="1" x14ac:dyDescent="0.2">
      <c r="A1" s="1" t="s">
        <v>0</v>
      </c>
      <c r="B1" s="1" t="s">
        <v>1</v>
      </c>
      <c r="C1" s="1" t="s">
        <v>2</v>
      </c>
      <c r="D1" s="2" t="s">
        <v>3</v>
      </c>
      <c r="E1" s="1" t="s">
        <v>4</v>
      </c>
      <c r="F1" s="3" t="s">
        <v>5</v>
      </c>
      <c r="G1" s="4" t="s">
        <v>6</v>
      </c>
      <c r="H1" s="1" t="s">
        <v>7</v>
      </c>
      <c r="I1" s="1" t="s">
        <v>8</v>
      </c>
      <c r="J1" s="2" t="s">
        <v>9</v>
      </c>
      <c r="K1" s="2" t="s">
        <v>10</v>
      </c>
      <c r="L1" s="5" t="s">
        <v>11</v>
      </c>
      <c r="M1" s="6" t="s">
        <v>12</v>
      </c>
      <c r="N1" s="7" t="s">
        <v>13</v>
      </c>
      <c r="O1" s="8" t="s">
        <v>14</v>
      </c>
      <c r="P1" s="8" t="s">
        <v>15</v>
      </c>
    </row>
    <row r="2" spans="1:16" s="21" customFormat="1" ht="41.25" hidden="1" customHeight="1" x14ac:dyDescent="0.25">
      <c r="A2" s="10" t="s">
        <v>16</v>
      </c>
      <c r="B2" s="11">
        <v>1</v>
      </c>
      <c r="C2" s="12" t="s">
        <v>17</v>
      </c>
      <c r="D2" s="13" t="s">
        <v>17</v>
      </c>
      <c r="E2" s="14"/>
      <c r="F2" s="14" t="s">
        <v>18</v>
      </c>
      <c r="G2" s="15" t="s">
        <v>19</v>
      </c>
      <c r="H2" s="16" t="s">
        <v>20</v>
      </c>
      <c r="I2" s="16">
        <v>3000</v>
      </c>
      <c r="J2" s="16" t="s">
        <v>20</v>
      </c>
      <c r="K2" s="16">
        <v>3000</v>
      </c>
      <c r="L2" s="17">
        <v>354</v>
      </c>
      <c r="M2" s="18">
        <f>L2*K2</f>
        <v>1062000</v>
      </c>
      <c r="N2" s="19"/>
      <c r="O2" s="20" t="s">
        <v>21</v>
      </c>
      <c r="P2" s="21" t="str">
        <f>TRIM(G2)</f>
        <v xml:space="preserve">1. Cerințe generale
Toate componentele trebuie să fie sterile, de unică folosință, conforme cu ISO 13485, ISO 10993
Toate componentele, inclusiv containerele, tubulaturile și etichetele, trebuie să fie rezistente la temperaturi de până la -40°C, umiditate relativă de până la 95% și cicluri repetate de congelare/decongelare, păstrând integritatea și funcționalitatea.
Instrucțiunea de utilizare în limba de stat, confirmând conformitatea cu cerințele tehnice și de siguranță.
Termenul de valabilitate la livrare: minimum 80% din termenul total, indicat pe ambalaj și confirmat prin certificat de lot emis de un organism acreditat.
Furnizorul va furniza 5 unități gratuite pentru testarea funcțională și de compatibilitate (inclusiv integritatea sistemului închis și funcționarea cu NIGALE Digipla 80), însoțite de certificate conform ISO 13485.
Destinație: Recoltarea componentelor sanguine, compatibil cu echipamentul NIGALE Digipla 80.
2. Proprietățile componentelor
2.1. Sistemul de recoltare
Materiale: Plastic biocompatibil, fără ftalați, testat pentru citotoxicitate și hemocompatibilitate conform ISO 10993-4 și ISO 10993-5.
Compatibil cu NIGALE Digipla 80.
2.2. Sistemul de recoltare a probei sanguine
Pentru eprubete vacuum, cu holder și ac 16 G cu fantă laterală, integrat în sistem închis și steril.
Prevăzut cu clamă, poziționată înainte de racordul în Y.
2.3. Sistem de protecție a acului
Mecanism de siguranță (ex. retragere automată sau capac), activabil cu o singură mână, conform ISO 23908, pentru eliminarea riscului de înțepare.
2.4. Recipient pentru centrifugare
Compatibil cu NIGALE Digipla 80, din materiale biocompatibile.
2.5. Soluție anticoagulantă
Volum: 200 ml (±5%), tip CPD sau CPD-A, cu citrat de sodiu 4% (±0,2%), sterilă și apirogenă conform Ph. Eur.
Recipient din plastic biocompatibil, cu element de fixare.
2.6. Container pentru colectarea componentelor
Capacitate: 2 unități de 450–500 ml (standard pentru donarea de sânge) sau 1 litru (pentru proceduri specifice, ex. plasmaferez).
Două orificii și racorduri superioare pentru separare și transfuzie; fantă inferioară pentru suspendare.
2.7. Tubulaturi de conexiune
Tubulaturile pentru soluția FF și soluția anticoagulantă: prevăzute cu clame.
Tubulatura de prelevare: marcată cu cod unic (ex. cod de bare sau număr de serie), prevăzută cu clamă.
3. Etichetare și ambalare
Etichete rezistente la agenți de curățare medicali, cu informații despre tip, volum, lot/serie, termen de valabilitate, producător și mențiunea „STERIL”.
Ambalaj securizat, în sistem închis, cu marcaje „DE UZ UNIC” și „STERIL”, conforme cu datele de pe componente.
Sterilizarea: metodă validată (ex. oxid de etilenă sau radiații gamma, conform ISO 11137), confirmată prin indicatori de sterilizare pe ambalaj.
4. Observații suplimentare
</v>
      </c>
    </row>
    <row r="3" spans="1:16" s="21" customFormat="1" ht="41.25" hidden="1" customHeight="1" x14ac:dyDescent="0.25">
      <c r="A3" s="22" t="s">
        <v>22</v>
      </c>
      <c r="B3" s="23">
        <v>1</v>
      </c>
      <c r="C3" s="24" t="s">
        <v>23</v>
      </c>
      <c r="D3" s="11" t="s">
        <v>23</v>
      </c>
      <c r="E3" s="24"/>
      <c r="F3" s="24" t="s">
        <v>24</v>
      </c>
      <c r="G3" s="11" t="s">
        <v>25</v>
      </c>
      <c r="H3" s="16" t="s">
        <v>20</v>
      </c>
      <c r="I3" s="16">
        <v>25</v>
      </c>
      <c r="J3" s="16" t="s">
        <v>20</v>
      </c>
      <c r="K3" s="16">
        <v>25</v>
      </c>
      <c r="L3" s="17">
        <v>7</v>
      </c>
      <c r="M3" s="18">
        <f>L3*K3</f>
        <v>175</v>
      </c>
      <c r="N3" s="19"/>
      <c r="O3" s="22" t="s">
        <v>26</v>
      </c>
    </row>
    <row r="4" spans="1:16" ht="41.25" hidden="1" customHeight="1" x14ac:dyDescent="0.25">
      <c r="A4" s="25" t="s">
        <v>27</v>
      </c>
      <c r="B4" s="26">
        <v>1</v>
      </c>
      <c r="C4" s="27" t="s">
        <v>28</v>
      </c>
      <c r="D4" s="15" t="s">
        <v>29</v>
      </c>
      <c r="E4" s="27"/>
      <c r="F4" s="27" t="s">
        <v>30</v>
      </c>
      <c r="G4" s="15" t="s">
        <v>31</v>
      </c>
      <c r="H4" s="28" t="s">
        <v>32</v>
      </c>
      <c r="I4" s="28">
        <v>1000</v>
      </c>
      <c r="J4" s="28" t="s">
        <v>32</v>
      </c>
      <c r="K4" s="28">
        <v>1000</v>
      </c>
      <c r="L4" s="29">
        <v>6.5</v>
      </c>
      <c r="M4" s="29">
        <f>L4*K4</f>
        <v>6500</v>
      </c>
      <c r="N4" s="30"/>
      <c r="O4" s="25" t="s">
        <v>26</v>
      </c>
    </row>
    <row r="5" spans="1:16" ht="41.25" hidden="1" customHeight="1" x14ac:dyDescent="0.25">
      <c r="A5" s="25" t="s">
        <v>33</v>
      </c>
      <c r="B5" s="35">
        <v>1</v>
      </c>
      <c r="C5" s="27" t="s">
        <v>34</v>
      </c>
      <c r="D5" s="33" t="s">
        <v>34</v>
      </c>
      <c r="E5" s="27"/>
      <c r="F5" s="27" t="s">
        <v>35</v>
      </c>
      <c r="G5" s="33" t="s">
        <v>35</v>
      </c>
      <c r="H5" s="28" t="s">
        <v>32</v>
      </c>
      <c r="I5" s="28">
        <v>1500</v>
      </c>
      <c r="J5" s="28" t="s">
        <v>32</v>
      </c>
      <c r="K5" s="28">
        <v>1500</v>
      </c>
      <c r="L5" s="29">
        <v>17.600000000000001</v>
      </c>
      <c r="M5" s="29">
        <f>L5*K5</f>
        <v>26400.000000000004</v>
      </c>
      <c r="N5" s="30"/>
      <c r="O5" s="25" t="s">
        <v>36</v>
      </c>
    </row>
    <row r="6" spans="1:16" ht="41.25" hidden="1" customHeight="1" x14ac:dyDescent="0.25">
      <c r="A6" s="25" t="s">
        <v>33</v>
      </c>
      <c r="B6" s="35">
        <v>2</v>
      </c>
      <c r="C6" s="27" t="s">
        <v>37</v>
      </c>
      <c r="D6" s="33" t="s">
        <v>37</v>
      </c>
      <c r="E6" s="32"/>
      <c r="F6" s="27" t="s">
        <v>38</v>
      </c>
      <c r="G6" s="33" t="s">
        <v>38</v>
      </c>
      <c r="H6" s="28" t="s">
        <v>32</v>
      </c>
      <c r="I6" s="28">
        <v>200</v>
      </c>
      <c r="J6" s="28" t="s">
        <v>32</v>
      </c>
      <c r="K6" s="28">
        <v>200</v>
      </c>
      <c r="L6" s="34">
        <v>48.7</v>
      </c>
      <c r="M6" s="29">
        <f>L6*K6</f>
        <v>9740</v>
      </c>
      <c r="N6" s="30"/>
      <c r="O6" s="25" t="s">
        <v>39</v>
      </c>
    </row>
    <row r="7" spans="1:16" s="21" customFormat="1" ht="41.25" hidden="1" customHeight="1" x14ac:dyDescent="0.25">
      <c r="A7" s="22" t="s">
        <v>40</v>
      </c>
      <c r="B7" s="43">
        <v>3</v>
      </c>
      <c r="C7" s="44" t="s">
        <v>42</v>
      </c>
      <c r="D7" s="15" t="s">
        <v>43</v>
      </c>
      <c r="E7" s="45"/>
      <c r="F7" s="45" t="s">
        <v>44</v>
      </c>
      <c r="G7" s="46" t="s">
        <v>45</v>
      </c>
      <c r="H7" s="47" t="s">
        <v>41</v>
      </c>
      <c r="I7" s="47">
        <v>20</v>
      </c>
      <c r="J7" s="48" t="s">
        <v>32</v>
      </c>
      <c r="K7" s="48">
        <v>1000</v>
      </c>
      <c r="L7" s="49">
        <v>144</v>
      </c>
      <c r="M7" s="49">
        <v>2880</v>
      </c>
      <c r="N7" s="19"/>
      <c r="O7" s="22" t="s">
        <v>26</v>
      </c>
    </row>
    <row r="8" spans="1:16" ht="41.25" hidden="1" customHeight="1" x14ac:dyDescent="0.25">
      <c r="A8" s="25" t="s">
        <v>40</v>
      </c>
      <c r="B8" s="37">
        <v>4</v>
      </c>
      <c r="C8" s="38" t="s">
        <v>46</v>
      </c>
      <c r="D8" s="46" t="s">
        <v>47</v>
      </c>
      <c r="E8" s="40"/>
      <c r="F8" s="38" t="s">
        <v>48</v>
      </c>
      <c r="G8" s="46" t="s">
        <v>49</v>
      </c>
      <c r="H8" s="41" t="s">
        <v>32</v>
      </c>
      <c r="I8" s="41">
        <v>500</v>
      </c>
      <c r="J8" s="41" t="s">
        <v>32</v>
      </c>
      <c r="K8" s="41">
        <v>500</v>
      </c>
      <c r="L8" s="34">
        <v>45</v>
      </c>
      <c r="M8" s="42">
        <v>22500</v>
      </c>
      <c r="N8" s="30"/>
      <c r="O8" s="25" t="s">
        <v>50</v>
      </c>
    </row>
    <row r="9" spans="1:16" ht="41.25" hidden="1" customHeight="1" x14ac:dyDescent="0.25">
      <c r="A9" s="25" t="s">
        <v>40</v>
      </c>
      <c r="B9" s="37">
        <v>5</v>
      </c>
      <c r="C9" s="38" t="s">
        <v>51</v>
      </c>
      <c r="D9" s="46" t="s">
        <v>52</v>
      </c>
      <c r="E9" s="36"/>
      <c r="F9" s="38" t="s">
        <v>51</v>
      </c>
      <c r="G9" s="46" t="s">
        <v>53</v>
      </c>
      <c r="H9" s="41" t="s">
        <v>32</v>
      </c>
      <c r="I9" s="41">
        <v>10</v>
      </c>
      <c r="J9" s="41" t="s">
        <v>32</v>
      </c>
      <c r="K9" s="41">
        <v>10</v>
      </c>
      <c r="L9" s="34">
        <v>20</v>
      </c>
      <c r="M9" s="42">
        <v>200</v>
      </c>
      <c r="N9" s="30"/>
      <c r="O9" s="25" t="s">
        <v>26</v>
      </c>
    </row>
    <row r="10" spans="1:16" ht="41.25" hidden="1" customHeight="1" x14ac:dyDescent="0.25">
      <c r="A10" s="25" t="s">
        <v>54</v>
      </c>
      <c r="B10" s="37">
        <v>1</v>
      </c>
      <c r="C10" s="50" t="s">
        <v>55</v>
      </c>
      <c r="D10" s="51" t="s">
        <v>55</v>
      </c>
      <c r="E10" s="50" t="s">
        <v>56</v>
      </c>
      <c r="F10" s="52" t="s">
        <v>57</v>
      </c>
      <c r="G10" s="53" t="s">
        <v>58</v>
      </c>
      <c r="H10" s="41" t="s">
        <v>32</v>
      </c>
      <c r="I10" s="41">
        <v>7000</v>
      </c>
      <c r="J10" s="41" t="s">
        <v>32</v>
      </c>
      <c r="K10" s="41">
        <v>7000</v>
      </c>
      <c r="L10" s="34">
        <v>0.33</v>
      </c>
      <c r="M10" s="42">
        <v>2310</v>
      </c>
      <c r="N10" s="30"/>
      <c r="O10" s="25" t="s">
        <v>26</v>
      </c>
    </row>
    <row r="11" spans="1:16" ht="41.25" hidden="1" customHeight="1" x14ac:dyDescent="0.25">
      <c r="A11" s="25" t="s">
        <v>54</v>
      </c>
      <c r="B11" s="37">
        <v>2</v>
      </c>
      <c r="C11" s="50" t="s">
        <v>59</v>
      </c>
      <c r="D11" s="51" t="s">
        <v>59</v>
      </c>
      <c r="E11" s="50" t="s">
        <v>56</v>
      </c>
      <c r="F11" s="50" t="s">
        <v>60</v>
      </c>
      <c r="G11" s="53" t="s">
        <v>61</v>
      </c>
      <c r="H11" s="41" t="s">
        <v>32</v>
      </c>
      <c r="I11" s="41">
        <v>7000</v>
      </c>
      <c r="J11" s="41" t="s">
        <v>32</v>
      </c>
      <c r="K11" s="41">
        <v>7000</v>
      </c>
      <c r="L11" s="42">
        <v>0.33</v>
      </c>
      <c r="M11" s="42">
        <v>2310</v>
      </c>
      <c r="N11" s="30"/>
      <c r="O11" s="25" t="s">
        <v>26</v>
      </c>
    </row>
    <row r="12" spans="1:16" ht="41.25" hidden="1" customHeight="1" x14ac:dyDescent="0.25">
      <c r="A12" s="25" t="s">
        <v>54</v>
      </c>
      <c r="B12" s="37">
        <v>3</v>
      </c>
      <c r="C12" s="50" t="s">
        <v>62</v>
      </c>
      <c r="D12" s="51" t="s">
        <v>62</v>
      </c>
      <c r="E12" s="50" t="s">
        <v>56</v>
      </c>
      <c r="F12" s="50" t="s">
        <v>63</v>
      </c>
      <c r="G12" s="53" t="s">
        <v>64</v>
      </c>
      <c r="H12" s="41" t="s">
        <v>32</v>
      </c>
      <c r="I12" s="41">
        <v>5000</v>
      </c>
      <c r="J12" s="41" t="s">
        <v>32</v>
      </c>
      <c r="K12" s="41">
        <v>5000</v>
      </c>
      <c r="L12" s="34">
        <v>0.33</v>
      </c>
      <c r="M12" s="42">
        <v>1650</v>
      </c>
      <c r="N12" s="30"/>
      <c r="O12" s="25" t="s">
        <v>26</v>
      </c>
    </row>
    <row r="13" spans="1:16" ht="41.25" hidden="1" customHeight="1" x14ac:dyDescent="0.25">
      <c r="A13" s="25" t="s">
        <v>54</v>
      </c>
      <c r="B13" s="37">
        <v>4</v>
      </c>
      <c r="C13" s="52" t="s">
        <v>65</v>
      </c>
      <c r="D13" s="51" t="s">
        <v>65</v>
      </c>
      <c r="E13" s="36"/>
      <c r="F13" s="52" t="s">
        <v>66</v>
      </c>
      <c r="G13" s="53" t="s">
        <v>67</v>
      </c>
      <c r="H13" s="41" t="s">
        <v>32</v>
      </c>
      <c r="I13" s="41">
        <v>5000</v>
      </c>
      <c r="J13" s="41" t="s">
        <v>32</v>
      </c>
      <c r="K13" s="41">
        <v>5000</v>
      </c>
      <c r="L13" s="34">
        <v>0.33</v>
      </c>
      <c r="M13" s="42">
        <v>1650</v>
      </c>
      <c r="N13" s="30"/>
      <c r="O13" s="25" t="s">
        <v>26</v>
      </c>
    </row>
    <row r="14" spans="1:16" s="21" customFormat="1" ht="41.25" hidden="1" customHeight="1" x14ac:dyDescent="0.25">
      <c r="A14" s="22" t="s">
        <v>54</v>
      </c>
      <c r="B14" s="43">
        <v>5</v>
      </c>
      <c r="C14" s="54" t="s">
        <v>68</v>
      </c>
      <c r="D14" s="15" t="s">
        <v>69</v>
      </c>
      <c r="E14" s="45"/>
      <c r="F14" s="54" t="s">
        <v>68</v>
      </c>
      <c r="G14" s="46" t="s">
        <v>70</v>
      </c>
      <c r="H14" s="47" t="s">
        <v>32</v>
      </c>
      <c r="I14" s="47">
        <v>1000</v>
      </c>
      <c r="J14" s="47" t="s">
        <v>32</v>
      </c>
      <c r="K14" s="47">
        <v>1000</v>
      </c>
      <c r="L14" s="17">
        <v>4.0999999999999996</v>
      </c>
      <c r="M14" s="49">
        <v>4100</v>
      </c>
      <c r="N14" s="19"/>
      <c r="O14" s="22" t="s">
        <v>26</v>
      </c>
    </row>
    <row r="15" spans="1:16" s="21" customFormat="1" ht="41.25" hidden="1" customHeight="1" x14ac:dyDescent="0.25">
      <c r="A15" s="22" t="s">
        <v>54</v>
      </c>
      <c r="B15" s="43">
        <v>6</v>
      </c>
      <c r="C15" s="54" t="s">
        <v>71</v>
      </c>
      <c r="D15" s="15" t="s">
        <v>72</v>
      </c>
      <c r="E15" s="45"/>
      <c r="F15" s="54" t="s">
        <v>71</v>
      </c>
      <c r="G15" s="46" t="s">
        <v>73</v>
      </c>
      <c r="H15" s="47" t="s">
        <v>32</v>
      </c>
      <c r="I15" s="47">
        <v>1000</v>
      </c>
      <c r="J15" s="47" t="s">
        <v>32</v>
      </c>
      <c r="K15" s="47">
        <v>1000</v>
      </c>
      <c r="L15" s="17">
        <v>3.4</v>
      </c>
      <c r="M15" s="49">
        <v>3400</v>
      </c>
      <c r="N15" s="19"/>
      <c r="O15" s="22" t="s">
        <v>26</v>
      </c>
    </row>
    <row r="16" spans="1:16" ht="41.25" hidden="1" customHeight="1" x14ac:dyDescent="0.25">
      <c r="A16" s="25" t="s">
        <v>54</v>
      </c>
      <c r="B16" s="37">
        <v>7</v>
      </c>
      <c r="C16" s="36" t="s">
        <v>74</v>
      </c>
      <c r="D16" s="39" t="s">
        <v>74</v>
      </c>
      <c r="E16" s="36"/>
      <c r="F16" s="36" t="s">
        <v>75</v>
      </c>
      <c r="G16" s="39" t="s">
        <v>75</v>
      </c>
      <c r="H16" s="41" t="s">
        <v>32</v>
      </c>
      <c r="I16" s="41">
        <v>500</v>
      </c>
      <c r="J16" s="41" t="s">
        <v>32</v>
      </c>
      <c r="K16" s="41">
        <v>500</v>
      </c>
      <c r="L16" s="34">
        <v>5</v>
      </c>
      <c r="M16" s="42">
        <v>2500</v>
      </c>
      <c r="N16" s="30"/>
      <c r="O16" s="25" t="s">
        <v>26</v>
      </c>
    </row>
    <row r="17" spans="1:15" ht="41.25" hidden="1" customHeight="1" x14ac:dyDescent="0.25">
      <c r="A17" s="25" t="s">
        <v>76</v>
      </c>
      <c r="B17" s="35">
        <v>1</v>
      </c>
      <c r="C17" s="27" t="s">
        <v>77</v>
      </c>
      <c r="D17" s="33" t="s">
        <v>77</v>
      </c>
      <c r="E17" s="27"/>
      <c r="F17" s="27" t="s">
        <v>78</v>
      </c>
      <c r="G17" s="33" t="s">
        <v>78</v>
      </c>
      <c r="H17" s="28" t="s">
        <v>32</v>
      </c>
      <c r="I17" s="28">
        <v>30</v>
      </c>
      <c r="J17" s="28" t="s">
        <v>32</v>
      </c>
      <c r="K17" s="28">
        <v>30</v>
      </c>
      <c r="L17" s="29">
        <v>1500</v>
      </c>
      <c r="M17" s="29">
        <v>45000</v>
      </c>
      <c r="N17" s="30"/>
      <c r="O17" s="25" t="s">
        <v>79</v>
      </c>
    </row>
    <row r="18" spans="1:15" ht="41.25" hidden="1" customHeight="1" x14ac:dyDescent="0.25">
      <c r="A18" s="25" t="s">
        <v>76</v>
      </c>
      <c r="B18" s="35">
        <v>2</v>
      </c>
      <c r="C18" s="27" t="s">
        <v>80</v>
      </c>
      <c r="D18" s="33" t="s">
        <v>80</v>
      </c>
      <c r="E18" s="32"/>
      <c r="F18" s="27" t="s">
        <v>81</v>
      </c>
      <c r="G18" s="33" t="s">
        <v>81</v>
      </c>
      <c r="H18" s="28" t="s">
        <v>32</v>
      </c>
      <c r="I18" s="28">
        <v>20</v>
      </c>
      <c r="J18" s="28" t="s">
        <v>32</v>
      </c>
      <c r="K18" s="28">
        <v>20</v>
      </c>
      <c r="L18" s="34">
        <v>4000</v>
      </c>
      <c r="M18" s="29">
        <f>L18*K18</f>
        <v>80000</v>
      </c>
      <c r="N18" s="30"/>
      <c r="O18" s="25" t="s">
        <v>79</v>
      </c>
    </row>
    <row r="19" spans="1:15" ht="41.25" hidden="1" customHeight="1" x14ac:dyDescent="0.25">
      <c r="A19" s="25" t="s">
        <v>76</v>
      </c>
      <c r="B19" s="35">
        <v>3</v>
      </c>
      <c r="C19" s="27" t="s">
        <v>82</v>
      </c>
      <c r="D19" s="33" t="s">
        <v>82</v>
      </c>
      <c r="E19" s="27"/>
      <c r="F19" s="27" t="s">
        <v>83</v>
      </c>
      <c r="G19" s="33" t="s">
        <v>83</v>
      </c>
      <c r="H19" s="28" t="s">
        <v>32</v>
      </c>
      <c r="I19" s="28">
        <v>20</v>
      </c>
      <c r="J19" s="28" t="s">
        <v>32</v>
      </c>
      <c r="K19" s="28">
        <v>20</v>
      </c>
      <c r="L19" s="29">
        <v>1200</v>
      </c>
      <c r="M19" s="29">
        <f>L19*K19</f>
        <v>24000</v>
      </c>
      <c r="N19" s="30"/>
      <c r="O19" s="25" t="s">
        <v>79</v>
      </c>
    </row>
    <row r="20" spans="1:15" ht="41.25" hidden="1" customHeight="1" x14ac:dyDescent="0.25">
      <c r="A20" s="25" t="s">
        <v>76</v>
      </c>
      <c r="B20" s="35">
        <v>4</v>
      </c>
      <c r="C20" s="27" t="s">
        <v>84</v>
      </c>
      <c r="D20" s="33" t="s">
        <v>84</v>
      </c>
      <c r="E20" s="32"/>
      <c r="F20" s="27" t="s">
        <v>85</v>
      </c>
      <c r="G20" s="33" t="s">
        <v>85</v>
      </c>
      <c r="H20" s="28" t="s">
        <v>32</v>
      </c>
      <c r="I20" s="28">
        <v>20</v>
      </c>
      <c r="J20" s="28" t="s">
        <v>32</v>
      </c>
      <c r="K20" s="28">
        <v>20</v>
      </c>
      <c r="L20" s="34">
        <v>2200</v>
      </c>
      <c r="M20" s="29">
        <v>44000</v>
      </c>
      <c r="N20" s="30"/>
      <c r="O20" s="25" t="s">
        <v>79</v>
      </c>
    </row>
    <row r="21" spans="1:15" ht="41.25" hidden="1" customHeight="1" x14ac:dyDescent="0.25">
      <c r="A21" s="25" t="s">
        <v>76</v>
      </c>
      <c r="B21" s="35">
        <v>5</v>
      </c>
      <c r="C21" s="27" t="s">
        <v>86</v>
      </c>
      <c r="D21" s="33" t="s">
        <v>86</v>
      </c>
      <c r="E21" s="27"/>
      <c r="F21" s="27" t="s">
        <v>87</v>
      </c>
      <c r="G21" s="33" t="s">
        <v>87</v>
      </c>
      <c r="H21" s="28" t="s">
        <v>32</v>
      </c>
      <c r="I21" s="28">
        <v>5</v>
      </c>
      <c r="J21" s="28" t="s">
        <v>32</v>
      </c>
      <c r="K21" s="28">
        <v>5</v>
      </c>
      <c r="L21" s="34">
        <v>4000</v>
      </c>
      <c r="M21" s="29">
        <f t="shared" ref="M21:M31" si="0">L21*K21</f>
        <v>20000</v>
      </c>
      <c r="N21" s="30"/>
      <c r="O21" s="25" t="s">
        <v>79</v>
      </c>
    </row>
    <row r="22" spans="1:15" ht="41.25" hidden="1" customHeight="1" x14ac:dyDescent="0.25">
      <c r="A22" s="25" t="s">
        <v>76</v>
      </c>
      <c r="B22" s="35">
        <v>6</v>
      </c>
      <c r="C22" s="27" t="s">
        <v>88</v>
      </c>
      <c r="D22" s="33" t="s">
        <v>88</v>
      </c>
      <c r="E22" s="27"/>
      <c r="F22" s="27" t="s">
        <v>89</v>
      </c>
      <c r="G22" s="33" t="s">
        <v>89</v>
      </c>
      <c r="H22" s="28" t="s">
        <v>32</v>
      </c>
      <c r="I22" s="28">
        <v>5</v>
      </c>
      <c r="J22" s="28" t="s">
        <v>32</v>
      </c>
      <c r="K22" s="28">
        <v>5</v>
      </c>
      <c r="L22" s="34">
        <v>1500</v>
      </c>
      <c r="M22" s="29">
        <f t="shared" si="0"/>
        <v>7500</v>
      </c>
      <c r="N22" s="30"/>
      <c r="O22" s="25" t="s">
        <v>79</v>
      </c>
    </row>
    <row r="23" spans="1:15" ht="41.25" hidden="1" customHeight="1" x14ac:dyDescent="0.25">
      <c r="A23" s="25" t="s">
        <v>76</v>
      </c>
      <c r="B23" s="35">
        <v>7</v>
      </c>
      <c r="C23" s="27" t="s">
        <v>90</v>
      </c>
      <c r="D23" s="33" t="s">
        <v>90</v>
      </c>
      <c r="E23" s="27"/>
      <c r="F23" s="27" t="s">
        <v>91</v>
      </c>
      <c r="G23" s="33" t="s">
        <v>91</v>
      </c>
      <c r="H23" s="28" t="s">
        <v>32</v>
      </c>
      <c r="I23" s="28">
        <v>10</v>
      </c>
      <c r="J23" s="28" t="s">
        <v>32</v>
      </c>
      <c r="K23" s="28">
        <v>10</v>
      </c>
      <c r="L23" s="34">
        <v>4500</v>
      </c>
      <c r="M23" s="29">
        <f t="shared" si="0"/>
        <v>45000</v>
      </c>
      <c r="N23" s="30"/>
      <c r="O23" s="25" t="s">
        <v>79</v>
      </c>
    </row>
    <row r="24" spans="1:15" ht="41.25" hidden="1" customHeight="1" x14ac:dyDescent="0.25">
      <c r="A24" s="25" t="s">
        <v>76</v>
      </c>
      <c r="B24" s="35">
        <v>8</v>
      </c>
      <c r="C24" s="27" t="s">
        <v>92</v>
      </c>
      <c r="D24" s="33" t="s">
        <v>92</v>
      </c>
      <c r="E24" s="27"/>
      <c r="F24" s="27" t="s">
        <v>93</v>
      </c>
      <c r="G24" s="15" t="s">
        <v>94</v>
      </c>
      <c r="H24" s="28" t="s">
        <v>32</v>
      </c>
      <c r="I24" s="28">
        <v>10</v>
      </c>
      <c r="J24" s="28" t="s">
        <v>32</v>
      </c>
      <c r="K24" s="28">
        <v>10</v>
      </c>
      <c r="L24" s="34">
        <v>2000</v>
      </c>
      <c r="M24" s="29">
        <f t="shared" si="0"/>
        <v>20000</v>
      </c>
      <c r="N24" s="30"/>
      <c r="O24" s="25" t="s">
        <v>79</v>
      </c>
    </row>
    <row r="25" spans="1:15" ht="41.25" hidden="1" customHeight="1" x14ac:dyDescent="0.25">
      <c r="A25" s="25" t="s">
        <v>76</v>
      </c>
      <c r="B25" s="35">
        <v>9</v>
      </c>
      <c r="C25" s="27" t="s">
        <v>95</v>
      </c>
      <c r="D25" s="33" t="s">
        <v>95</v>
      </c>
      <c r="E25" s="27"/>
      <c r="F25" s="27" t="s">
        <v>96</v>
      </c>
      <c r="G25" s="15" t="s">
        <v>97</v>
      </c>
      <c r="H25" s="28" t="s">
        <v>32</v>
      </c>
      <c r="I25" s="28">
        <v>25</v>
      </c>
      <c r="J25" s="28" t="s">
        <v>32</v>
      </c>
      <c r="K25" s="28">
        <v>25</v>
      </c>
      <c r="L25" s="34">
        <v>2200</v>
      </c>
      <c r="M25" s="29">
        <f t="shared" si="0"/>
        <v>55000</v>
      </c>
      <c r="N25" s="30"/>
      <c r="O25" s="25" t="s">
        <v>79</v>
      </c>
    </row>
    <row r="26" spans="1:15" ht="41.25" hidden="1" customHeight="1" x14ac:dyDescent="0.25">
      <c r="A26" s="25" t="s">
        <v>76</v>
      </c>
      <c r="B26" s="35">
        <v>10</v>
      </c>
      <c r="C26" s="27" t="s">
        <v>98</v>
      </c>
      <c r="D26" s="33" t="s">
        <v>98</v>
      </c>
      <c r="E26" s="27"/>
      <c r="F26" s="27" t="s">
        <v>99</v>
      </c>
      <c r="G26" s="15" t="s">
        <v>100</v>
      </c>
      <c r="H26" s="28" t="s">
        <v>32</v>
      </c>
      <c r="I26" s="28">
        <v>10</v>
      </c>
      <c r="J26" s="28" t="s">
        <v>32</v>
      </c>
      <c r="K26" s="28">
        <v>10</v>
      </c>
      <c r="L26" s="34">
        <v>1700</v>
      </c>
      <c r="M26" s="29">
        <f t="shared" si="0"/>
        <v>17000</v>
      </c>
      <c r="N26" s="30"/>
      <c r="O26" s="25" t="s">
        <v>79</v>
      </c>
    </row>
    <row r="27" spans="1:15" ht="41.25" hidden="1" customHeight="1" x14ac:dyDescent="0.25">
      <c r="A27" s="25" t="s">
        <v>76</v>
      </c>
      <c r="B27" s="35">
        <v>11</v>
      </c>
      <c r="C27" s="27" t="s">
        <v>101</v>
      </c>
      <c r="D27" s="33" t="s">
        <v>101</v>
      </c>
      <c r="E27" s="27"/>
      <c r="F27" s="27" t="s">
        <v>102</v>
      </c>
      <c r="G27" s="15" t="s">
        <v>103</v>
      </c>
      <c r="H27" s="28" t="s">
        <v>32</v>
      </c>
      <c r="I27" s="28">
        <v>10</v>
      </c>
      <c r="J27" s="28" t="s">
        <v>32</v>
      </c>
      <c r="K27" s="28">
        <v>10</v>
      </c>
      <c r="L27" s="34">
        <v>2500</v>
      </c>
      <c r="M27" s="29">
        <f t="shared" si="0"/>
        <v>25000</v>
      </c>
      <c r="N27" s="30"/>
      <c r="O27" s="25" t="s">
        <v>79</v>
      </c>
    </row>
    <row r="28" spans="1:15" ht="41.25" hidden="1" customHeight="1" x14ac:dyDescent="0.25">
      <c r="A28" s="25" t="s">
        <v>76</v>
      </c>
      <c r="B28" s="35">
        <v>12</v>
      </c>
      <c r="C28" s="27" t="s">
        <v>104</v>
      </c>
      <c r="D28" s="33" t="s">
        <v>104</v>
      </c>
      <c r="E28" s="27"/>
      <c r="F28" s="27" t="s">
        <v>105</v>
      </c>
      <c r="G28" s="15" t="s">
        <v>106</v>
      </c>
      <c r="H28" s="28" t="s">
        <v>32</v>
      </c>
      <c r="I28" s="28">
        <v>10</v>
      </c>
      <c r="J28" s="28" t="s">
        <v>32</v>
      </c>
      <c r="K28" s="28">
        <v>10</v>
      </c>
      <c r="L28" s="34">
        <v>1800</v>
      </c>
      <c r="M28" s="29">
        <f t="shared" si="0"/>
        <v>18000</v>
      </c>
      <c r="N28" s="30"/>
      <c r="O28" s="25" t="s">
        <v>79</v>
      </c>
    </row>
    <row r="29" spans="1:15" ht="41.25" hidden="1" customHeight="1" x14ac:dyDescent="0.25">
      <c r="A29" s="25" t="s">
        <v>76</v>
      </c>
      <c r="B29" s="35">
        <v>13</v>
      </c>
      <c r="C29" s="27" t="s">
        <v>107</v>
      </c>
      <c r="D29" s="33" t="s">
        <v>107</v>
      </c>
      <c r="E29" s="27"/>
      <c r="F29" s="27" t="s">
        <v>108</v>
      </c>
      <c r="G29" s="33" t="s">
        <v>108</v>
      </c>
      <c r="H29" s="28" t="s">
        <v>32</v>
      </c>
      <c r="I29" s="28">
        <v>5</v>
      </c>
      <c r="J29" s="28" t="s">
        <v>32</v>
      </c>
      <c r="K29" s="28">
        <v>5</v>
      </c>
      <c r="L29" s="34">
        <v>1800</v>
      </c>
      <c r="M29" s="29">
        <f t="shared" si="0"/>
        <v>9000</v>
      </c>
      <c r="N29" s="30"/>
      <c r="O29" s="25" t="s">
        <v>79</v>
      </c>
    </row>
    <row r="30" spans="1:15" ht="41.25" hidden="1" customHeight="1" x14ac:dyDescent="0.25">
      <c r="A30" s="25" t="s">
        <v>76</v>
      </c>
      <c r="B30" s="35">
        <v>14</v>
      </c>
      <c r="C30" s="27" t="s">
        <v>109</v>
      </c>
      <c r="D30" s="33" t="s">
        <v>109</v>
      </c>
      <c r="E30" s="27"/>
      <c r="F30" s="27" t="s">
        <v>110</v>
      </c>
      <c r="G30" s="33" t="s">
        <v>110</v>
      </c>
      <c r="H30" s="28" t="s">
        <v>32</v>
      </c>
      <c r="I30" s="28">
        <v>5</v>
      </c>
      <c r="J30" s="28" t="s">
        <v>32</v>
      </c>
      <c r="K30" s="28">
        <v>5</v>
      </c>
      <c r="L30" s="34">
        <v>4000</v>
      </c>
      <c r="M30" s="29">
        <f t="shared" si="0"/>
        <v>20000</v>
      </c>
      <c r="N30" s="30"/>
      <c r="O30" s="25" t="s">
        <v>79</v>
      </c>
    </row>
    <row r="31" spans="1:15" ht="41.25" hidden="1" customHeight="1" x14ac:dyDescent="0.25">
      <c r="A31" s="25" t="s">
        <v>76</v>
      </c>
      <c r="B31" s="35">
        <v>15</v>
      </c>
      <c r="C31" s="27" t="s">
        <v>111</v>
      </c>
      <c r="D31" s="33" t="s">
        <v>111</v>
      </c>
      <c r="E31" s="27"/>
      <c r="F31" s="27" t="s">
        <v>112</v>
      </c>
      <c r="G31" s="33" t="s">
        <v>112</v>
      </c>
      <c r="H31" s="28"/>
      <c r="I31" s="28">
        <v>25</v>
      </c>
      <c r="J31" s="28"/>
      <c r="K31" s="28">
        <v>25</v>
      </c>
      <c r="L31" s="34">
        <v>4000</v>
      </c>
      <c r="M31" s="29">
        <f t="shared" si="0"/>
        <v>100000</v>
      </c>
      <c r="N31" s="30"/>
      <c r="O31" s="25" t="s">
        <v>79</v>
      </c>
    </row>
    <row r="32" spans="1:15" ht="41.25" hidden="1" customHeight="1" x14ac:dyDescent="0.25">
      <c r="A32" s="25" t="s">
        <v>76</v>
      </c>
      <c r="B32" s="35">
        <v>16</v>
      </c>
      <c r="C32" s="27" t="s">
        <v>113</v>
      </c>
      <c r="D32" s="33" t="s">
        <v>113</v>
      </c>
      <c r="E32" s="27"/>
      <c r="F32" s="27" t="s">
        <v>114</v>
      </c>
      <c r="G32" s="33" t="s">
        <v>114</v>
      </c>
      <c r="H32" s="28"/>
      <c r="I32" s="28">
        <v>5</v>
      </c>
      <c r="J32" s="28"/>
      <c r="K32" s="28">
        <v>5</v>
      </c>
      <c r="L32" s="34">
        <v>6000</v>
      </c>
      <c r="M32" s="29">
        <v>30000</v>
      </c>
      <c r="N32" s="30"/>
      <c r="O32" s="25" t="s">
        <v>115</v>
      </c>
    </row>
    <row r="33" spans="1:15" ht="41.25" hidden="1" customHeight="1" x14ac:dyDescent="0.25">
      <c r="A33" s="25" t="s">
        <v>76</v>
      </c>
      <c r="B33" s="35">
        <v>17</v>
      </c>
      <c r="C33" s="27" t="s">
        <v>116</v>
      </c>
      <c r="D33" s="33" t="s">
        <v>116</v>
      </c>
      <c r="E33" s="27"/>
      <c r="F33" s="27" t="s">
        <v>117</v>
      </c>
      <c r="G33" s="33" t="s">
        <v>117</v>
      </c>
      <c r="H33" s="28"/>
      <c r="I33" s="28">
        <v>20</v>
      </c>
      <c r="J33" s="28"/>
      <c r="K33" s="28">
        <v>20</v>
      </c>
      <c r="L33" s="34">
        <v>1800</v>
      </c>
      <c r="M33" s="29">
        <v>36000</v>
      </c>
      <c r="N33" s="30"/>
      <c r="O33" s="25" t="s">
        <v>115</v>
      </c>
    </row>
    <row r="34" spans="1:15" ht="41.25" hidden="1" customHeight="1" x14ac:dyDescent="0.25">
      <c r="A34" s="25" t="s">
        <v>76</v>
      </c>
      <c r="B34" s="35">
        <v>18</v>
      </c>
      <c r="C34" s="27" t="s">
        <v>118</v>
      </c>
      <c r="D34" s="33" t="s">
        <v>118</v>
      </c>
      <c r="E34" s="27"/>
      <c r="F34" s="27" t="s">
        <v>119</v>
      </c>
      <c r="G34" s="33" t="s">
        <v>119</v>
      </c>
      <c r="H34" s="28"/>
      <c r="I34" s="28">
        <v>5</v>
      </c>
      <c r="J34" s="28"/>
      <c r="K34" s="28">
        <v>5</v>
      </c>
      <c r="L34" s="34">
        <v>4000</v>
      </c>
      <c r="M34" s="29">
        <v>20000</v>
      </c>
      <c r="N34" s="30"/>
      <c r="O34" s="25" t="s">
        <v>79</v>
      </c>
    </row>
    <row r="35" spans="1:15" ht="41.25" hidden="1" customHeight="1" x14ac:dyDescent="0.25">
      <c r="A35" s="25" t="s">
        <v>76</v>
      </c>
      <c r="B35" s="35">
        <v>19</v>
      </c>
      <c r="C35" s="27" t="s">
        <v>120</v>
      </c>
      <c r="D35" s="33" t="s">
        <v>120</v>
      </c>
      <c r="E35" s="27"/>
      <c r="F35" s="27" t="s">
        <v>121</v>
      </c>
      <c r="G35" s="33" t="s">
        <v>121</v>
      </c>
      <c r="H35" s="28"/>
      <c r="I35" s="28">
        <v>10</v>
      </c>
      <c r="J35" s="28"/>
      <c r="K35" s="28">
        <v>10</v>
      </c>
      <c r="L35" s="34">
        <v>5000</v>
      </c>
      <c r="M35" s="29">
        <v>50000</v>
      </c>
      <c r="N35" s="30"/>
      <c r="O35" s="25" t="s">
        <v>79</v>
      </c>
    </row>
    <row r="36" spans="1:15" ht="41.25" hidden="1" customHeight="1" x14ac:dyDescent="0.25">
      <c r="A36" s="25" t="s">
        <v>76</v>
      </c>
      <c r="B36" s="35">
        <v>20</v>
      </c>
      <c r="C36" s="27" t="s">
        <v>122</v>
      </c>
      <c r="D36" s="33" t="s">
        <v>122</v>
      </c>
      <c r="E36" s="27"/>
      <c r="F36" s="27" t="s">
        <v>123</v>
      </c>
      <c r="G36" s="33" t="s">
        <v>123</v>
      </c>
      <c r="H36" s="28"/>
      <c r="I36" s="28">
        <v>100</v>
      </c>
      <c r="J36" s="28"/>
      <c r="K36" s="28">
        <v>100</v>
      </c>
      <c r="L36" s="34">
        <v>700</v>
      </c>
      <c r="M36" s="29">
        <v>70000</v>
      </c>
      <c r="N36" s="30"/>
      <c r="O36" s="25" t="s">
        <v>26</v>
      </c>
    </row>
    <row r="37" spans="1:15" ht="41.25" hidden="1" customHeight="1" x14ac:dyDescent="0.25">
      <c r="A37" s="25" t="s">
        <v>76</v>
      </c>
      <c r="B37" s="35">
        <v>21</v>
      </c>
      <c r="C37" s="27" t="s">
        <v>124</v>
      </c>
      <c r="D37" s="33" t="s">
        <v>124</v>
      </c>
      <c r="E37" s="27"/>
      <c r="F37" s="27" t="s">
        <v>125</v>
      </c>
      <c r="G37" s="33" t="s">
        <v>125</v>
      </c>
      <c r="H37" s="28"/>
      <c r="I37" s="28">
        <v>20</v>
      </c>
      <c r="J37" s="28"/>
      <c r="K37" s="28">
        <v>20</v>
      </c>
      <c r="L37" s="34">
        <v>3000</v>
      </c>
      <c r="M37" s="29">
        <v>60000</v>
      </c>
      <c r="N37" s="30"/>
      <c r="O37" s="25" t="s">
        <v>79</v>
      </c>
    </row>
    <row r="38" spans="1:15" s="21" customFormat="1" ht="41.25" hidden="1" customHeight="1" x14ac:dyDescent="0.25">
      <c r="A38" s="22" t="s">
        <v>76</v>
      </c>
      <c r="B38" s="23">
        <v>22</v>
      </c>
      <c r="C38" s="24" t="s">
        <v>126</v>
      </c>
      <c r="D38" s="11" t="s">
        <v>126</v>
      </c>
      <c r="E38" s="24"/>
      <c r="F38" s="24" t="s">
        <v>127</v>
      </c>
      <c r="G38" s="15" t="s">
        <v>128</v>
      </c>
      <c r="H38" s="16"/>
      <c r="I38" s="16">
        <v>50</v>
      </c>
      <c r="J38" s="16"/>
      <c r="K38" s="16">
        <v>50</v>
      </c>
      <c r="L38" s="17">
        <v>900</v>
      </c>
      <c r="M38" s="18">
        <v>45000</v>
      </c>
      <c r="N38" s="19"/>
      <c r="O38" s="22" t="s">
        <v>26</v>
      </c>
    </row>
    <row r="39" spans="1:15" s="21" customFormat="1" ht="41.25" hidden="1" customHeight="1" x14ac:dyDescent="0.25">
      <c r="A39" s="22" t="s">
        <v>76</v>
      </c>
      <c r="B39" s="23">
        <v>23</v>
      </c>
      <c r="C39" s="24" t="s">
        <v>129</v>
      </c>
      <c r="D39" s="11" t="s">
        <v>129</v>
      </c>
      <c r="E39" s="24"/>
      <c r="F39" s="24" t="s">
        <v>130</v>
      </c>
      <c r="G39" s="11" t="s">
        <v>130</v>
      </c>
      <c r="H39" s="16"/>
      <c r="I39" s="16">
        <v>10</v>
      </c>
      <c r="J39" s="16"/>
      <c r="K39" s="16">
        <v>10</v>
      </c>
      <c r="L39" s="17">
        <v>1200</v>
      </c>
      <c r="M39" s="18">
        <v>12000</v>
      </c>
      <c r="N39" s="19"/>
      <c r="O39" s="22" t="s">
        <v>26</v>
      </c>
    </row>
    <row r="40" spans="1:15" s="21" customFormat="1" ht="41.25" hidden="1" customHeight="1" x14ac:dyDescent="0.25">
      <c r="A40" s="22" t="s">
        <v>76</v>
      </c>
      <c r="B40" s="23">
        <v>24</v>
      </c>
      <c r="C40" s="24" t="s">
        <v>131</v>
      </c>
      <c r="D40" s="11" t="s">
        <v>131</v>
      </c>
      <c r="E40" s="24"/>
      <c r="F40" s="24" t="s">
        <v>132</v>
      </c>
      <c r="G40" s="11" t="s">
        <v>132</v>
      </c>
      <c r="H40" s="16"/>
      <c r="I40" s="16">
        <v>250</v>
      </c>
      <c r="J40" s="16"/>
      <c r="K40" s="16">
        <v>250</v>
      </c>
      <c r="L40" s="17">
        <v>20</v>
      </c>
      <c r="M40" s="18">
        <v>5000</v>
      </c>
      <c r="N40" s="19"/>
      <c r="O40" s="22" t="s">
        <v>26</v>
      </c>
    </row>
    <row r="41" spans="1:15" s="21" customFormat="1" ht="41.25" hidden="1" customHeight="1" x14ac:dyDescent="0.25">
      <c r="A41" s="22" t="s">
        <v>76</v>
      </c>
      <c r="B41" s="23">
        <v>25</v>
      </c>
      <c r="C41" s="24" t="s">
        <v>131</v>
      </c>
      <c r="D41" s="11" t="s">
        <v>131</v>
      </c>
      <c r="E41" s="24"/>
      <c r="F41" s="24" t="s">
        <v>133</v>
      </c>
      <c r="G41" s="11" t="s">
        <v>133</v>
      </c>
      <c r="H41" s="16"/>
      <c r="I41" s="16">
        <v>100</v>
      </c>
      <c r="J41" s="16"/>
      <c r="K41" s="16">
        <v>100</v>
      </c>
      <c r="L41" s="17">
        <v>20</v>
      </c>
      <c r="M41" s="18">
        <v>2000</v>
      </c>
      <c r="N41" s="19"/>
      <c r="O41" s="22" t="s">
        <v>26</v>
      </c>
    </row>
    <row r="42" spans="1:15" ht="41.25" hidden="1" customHeight="1" x14ac:dyDescent="0.25">
      <c r="A42" s="25" t="s">
        <v>76</v>
      </c>
      <c r="B42" s="35">
        <v>28</v>
      </c>
      <c r="C42" s="27" t="s">
        <v>134</v>
      </c>
      <c r="D42" s="33" t="s">
        <v>134</v>
      </c>
      <c r="E42" s="27"/>
      <c r="F42" s="27" t="s">
        <v>135</v>
      </c>
      <c r="G42" s="33" t="s">
        <v>135</v>
      </c>
      <c r="H42" s="28"/>
      <c r="I42" s="28">
        <v>25</v>
      </c>
      <c r="J42" s="28"/>
      <c r="K42" s="28">
        <v>25</v>
      </c>
      <c r="L42" s="34">
        <v>1000</v>
      </c>
      <c r="M42" s="29">
        <v>25000</v>
      </c>
      <c r="N42" s="30"/>
      <c r="O42" s="25" t="s">
        <v>26</v>
      </c>
    </row>
    <row r="43" spans="1:15" ht="41.25" hidden="1" customHeight="1" x14ac:dyDescent="0.25">
      <c r="A43" s="25" t="s">
        <v>76</v>
      </c>
      <c r="B43" s="35">
        <v>29</v>
      </c>
      <c r="C43" s="27" t="s">
        <v>136</v>
      </c>
      <c r="D43" s="33" t="s">
        <v>136</v>
      </c>
      <c r="E43" s="27"/>
      <c r="F43" s="27"/>
      <c r="G43" s="15" t="s">
        <v>136</v>
      </c>
      <c r="H43" s="28"/>
      <c r="I43" s="28">
        <v>20</v>
      </c>
      <c r="J43" s="28"/>
      <c r="K43" s="28">
        <v>20</v>
      </c>
      <c r="L43" s="34">
        <v>1500</v>
      </c>
      <c r="M43" s="29">
        <v>30000</v>
      </c>
      <c r="N43" s="30"/>
      <c r="O43" s="25" t="s">
        <v>137</v>
      </c>
    </row>
    <row r="44" spans="1:15" ht="41.25" hidden="1" customHeight="1" x14ac:dyDescent="0.25">
      <c r="A44" s="25" t="s">
        <v>76</v>
      </c>
      <c r="B44" s="35">
        <v>30</v>
      </c>
      <c r="C44" s="27" t="s">
        <v>138</v>
      </c>
      <c r="D44" s="33" t="s">
        <v>138</v>
      </c>
      <c r="E44" s="27"/>
      <c r="F44" s="27"/>
      <c r="G44" s="15" t="s">
        <v>138</v>
      </c>
      <c r="H44" s="28"/>
      <c r="I44" s="28">
        <v>10</v>
      </c>
      <c r="J44" s="28"/>
      <c r="K44" s="28">
        <v>10</v>
      </c>
      <c r="L44" s="34">
        <v>2000</v>
      </c>
      <c r="M44" s="29">
        <v>20000</v>
      </c>
      <c r="N44" s="30"/>
      <c r="O44" s="25" t="s">
        <v>115</v>
      </c>
    </row>
    <row r="45" spans="1:15" s="21" customFormat="1" ht="41.25" hidden="1" customHeight="1" x14ac:dyDescent="0.25">
      <c r="A45" s="22" t="s">
        <v>76</v>
      </c>
      <c r="B45" s="23">
        <v>31</v>
      </c>
      <c r="C45" s="24" t="s">
        <v>139</v>
      </c>
      <c r="D45" s="374" t="s">
        <v>140</v>
      </c>
      <c r="E45" s="24"/>
      <c r="F45" s="24" t="s">
        <v>141</v>
      </c>
      <c r="G45" s="376" t="s">
        <v>142</v>
      </c>
      <c r="H45" s="16"/>
      <c r="I45" s="16">
        <v>220000</v>
      </c>
      <c r="J45" s="16"/>
      <c r="K45" s="16">
        <v>220000</v>
      </c>
      <c r="L45" s="17">
        <v>2</v>
      </c>
      <c r="M45" s="18">
        <v>440000</v>
      </c>
      <c r="N45" s="378" t="s">
        <v>143</v>
      </c>
      <c r="O45" s="22" t="s">
        <v>26</v>
      </c>
    </row>
    <row r="46" spans="1:15" s="21" customFormat="1" ht="41.25" hidden="1" customHeight="1" x14ac:dyDescent="0.25">
      <c r="A46" s="22" t="s">
        <v>76</v>
      </c>
      <c r="B46" s="23">
        <v>32</v>
      </c>
      <c r="C46" s="24" t="s">
        <v>144</v>
      </c>
      <c r="D46" s="375"/>
      <c r="E46" s="24"/>
      <c r="F46" s="24" t="s">
        <v>145</v>
      </c>
      <c r="G46" s="377"/>
      <c r="H46" s="16"/>
      <c r="I46" s="16">
        <v>220000</v>
      </c>
      <c r="J46" s="16"/>
      <c r="K46" s="16">
        <v>220000</v>
      </c>
      <c r="L46" s="16">
        <v>0.25</v>
      </c>
      <c r="M46" s="17">
        <v>55000</v>
      </c>
      <c r="N46" s="379"/>
      <c r="O46" s="22" t="s">
        <v>26</v>
      </c>
    </row>
    <row r="47" spans="1:15" ht="41.25" hidden="1" customHeight="1" x14ac:dyDescent="0.25">
      <c r="A47" s="25" t="s">
        <v>76</v>
      </c>
      <c r="B47" s="35">
        <v>33</v>
      </c>
      <c r="C47" s="27" t="s">
        <v>146</v>
      </c>
      <c r="D47" s="33" t="s">
        <v>146</v>
      </c>
      <c r="E47" s="27"/>
      <c r="F47" s="27" t="s">
        <v>147</v>
      </c>
      <c r="G47" s="33" t="s">
        <v>147</v>
      </c>
      <c r="H47" s="28"/>
      <c r="I47" s="28">
        <v>1000</v>
      </c>
      <c r="J47" s="28"/>
      <c r="K47" s="28">
        <v>1000</v>
      </c>
      <c r="L47" s="34">
        <v>3</v>
      </c>
      <c r="M47" s="29">
        <v>3000</v>
      </c>
      <c r="N47" s="55"/>
      <c r="O47" s="25" t="s">
        <v>26</v>
      </c>
    </row>
    <row r="48" spans="1:15" ht="41.25" hidden="1" customHeight="1" x14ac:dyDescent="0.25">
      <c r="A48" s="25" t="s">
        <v>76</v>
      </c>
      <c r="B48" s="35">
        <v>34</v>
      </c>
      <c r="C48" s="27" t="s">
        <v>148</v>
      </c>
      <c r="D48" s="33" t="s">
        <v>148</v>
      </c>
      <c r="E48" s="27"/>
      <c r="F48" s="27" t="s">
        <v>149</v>
      </c>
      <c r="G48" s="33" t="s">
        <v>149</v>
      </c>
      <c r="H48" s="28"/>
      <c r="I48" s="28">
        <v>500</v>
      </c>
      <c r="J48" s="28"/>
      <c r="K48" s="28">
        <v>500</v>
      </c>
      <c r="L48" s="34">
        <v>3</v>
      </c>
      <c r="M48" s="29">
        <v>1500</v>
      </c>
      <c r="N48" s="30"/>
      <c r="O48" s="25" t="s">
        <v>26</v>
      </c>
    </row>
    <row r="49" spans="1:15" s="21" customFormat="1" ht="41.25" hidden="1" customHeight="1" x14ac:dyDescent="0.25">
      <c r="A49" s="22" t="s">
        <v>150</v>
      </c>
      <c r="B49" s="23"/>
      <c r="C49" s="24" t="s">
        <v>151</v>
      </c>
      <c r="D49" s="11" t="s">
        <v>151</v>
      </c>
      <c r="E49" s="24"/>
      <c r="F49" s="56" t="s">
        <v>152</v>
      </c>
      <c r="G49" s="57" t="s">
        <v>152</v>
      </c>
      <c r="H49" s="16" t="s">
        <v>153</v>
      </c>
      <c r="I49" s="16">
        <v>500</v>
      </c>
      <c r="J49" s="16" t="s">
        <v>153</v>
      </c>
      <c r="K49" s="16">
        <v>500</v>
      </c>
      <c r="L49" s="17"/>
      <c r="M49" s="18">
        <v>50000</v>
      </c>
      <c r="N49" s="19" t="s">
        <v>154</v>
      </c>
      <c r="O49" s="22" t="s">
        <v>26</v>
      </c>
    </row>
    <row r="50" spans="1:15" s="21" customFormat="1" ht="41.25" hidden="1" customHeight="1" x14ac:dyDescent="0.25">
      <c r="A50" s="22" t="s">
        <v>150</v>
      </c>
      <c r="B50" s="23"/>
      <c r="C50" s="58" t="s">
        <v>155</v>
      </c>
      <c r="D50" s="59" t="s">
        <v>155</v>
      </c>
      <c r="E50" s="24"/>
      <c r="F50" s="58" t="s">
        <v>156</v>
      </c>
      <c r="G50" s="59" t="s">
        <v>156</v>
      </c>
      <c r="H50" s="16" t="s">
        <v>157</v>
      </c>
      <c r="I50" s="16">
        <v>600</v>
      </c>
      <c r="J50" s="16" t="s">
        <v>157</v>
      </c>
      <c r="K50" s="16">
        <v>600</v>
      </c>
      <c r="L50" s="17"/>
      <c r="M50" s="18">
        <v>100000</v>
      </c>
      <c r="N50" s="19" t="s">
        <v>154</v>
      </c>
      <c r="O50" s="22" t="s">
        <v>26</v>
      </c>
    </row>
    <row r="51" spans="1:15" s="21" customFormat="1" ht="41.25" hidden="1" customHeight="1" x14ac:dyDescent="0.25">
      <c r="A51" s="22" t="s">
        <v>150</v>
      </c>
      <c r="B51" s="23"/>
      <c r="C51" s="11" t="s">
        <v>158</v>
      </c>
      <c r="D51" s="11" t="s">
        <v>158</v>
      </c>
      <c r="E51" s="24"/>
      <c r="F51" s="58" t="s">
        <v>159</v>
      </c>
      <c r="G51" s="59" t="s">
        <v>159</v>
      </c>
      <c r="H51" s="16" t="s">
        <v>153</v>
      </c>
      <c r="I51" s="16">
        <v>500</v>
      </c>
      <c r="J51" s="16" t="s">
        <v>153</v>
      </c>
      <c r="K51" s="16">
        <v>500</v>
      </c>
      <c r="L51" s="18"/>
      <c r="M51" s="18">
        <v>40000</v>
      </c>
      <c r="N51" s="19" t="s">
        <v>154</v>
      </c>
      <c r="O51" s="22" t="s">
        <v>26</v>
      </c>
    </row>
    <row r="52" spans="1:15" ht="41.25" hidden="1" customHeight="1" x14ac:dyDescent="0.25">
      <c r="A52" s="25" t="s">
        <v>160</v>
      </c>
      <c r="B52" s="37">
        <v>1</v>
      </c>
      <c r="C52" s="36" t="s">
        <v>161</v>
      </c>
      <c r="D52" s="46" t="s">
        <v>162</v>
      </c>
      <c r="E52" s="36"/>
      <c r="F52" s="36" t="s">
        <v>163</v>
      </c>
      <c r="G52" s="39" t="s">
        <v>163</v>
      </c>
      <c r="H52" s="60" t="s">
        <v>164</v>
      </c>
      <c r="I52" s="60">
        <v>200</v>
      </c>
      <c r="J52" s="60" t="s">
        <v>164</v>
      </c>
      <c r="K52" s="60">
        <v>200</v>
      </c>
      <c r="L52" s="61" t="s">
        <v>165</v>
      </c>
      <c r="M52" s="62">
        <v>20000</v>
      </c>
      <c r="N52" s="30"/>
      <c r="O52" s="25" t="s">
        <v>115</v>
      </c>
    </row>
    <row r="53" spans="1:15" ht="41.25" hidden="1" customHeight="1" x14ac:dyDescent="0.25">
      <c r="A53" s="25" t="s">
        <v>160</v>
      </c>
      <c r="B53" s="37">
        <v>2</v>
      </c>
      <c r="C53" s="36" t="s">
        <v>166</v>
      </c>
      <c r="D53" s="46" t="s">
        <v>167</v>
      </c>
      <c r="E53" s="36"/>
      <c r="F53" s="36" t="s">
        <v>168</v>
      </c>
      <c r="G53" s="63" t="s">
        <v>168</v>
      </c>
      <c r="H53" s="60" t="s">
        <v>164</v>
      </c>
      <c r="I53" s="60">
        <v>150</v>
      </c>
      <c r="J53" s="60" t="s">
        <v>164</v>
      </c>
      <c r="K53" s="60">
        <v>150</v>
      </c>
      <c r="L53" s="61">
        <v>240</v>
      </c>
      <c r="M53" s="62">
        <v>36000</v>
      </c>
      <c r="N53" s="30"/>
      <c r="O53" s="25" t="s">
        <v>115</v>
      </c>
    </row>
    <row r="54" spans="1:15" ht="41.25" hidden="1" customHeight="1" x14ac:dyDescent="0.25">
      <c r="A54" s="25" t="s">
        <v>160</v>
      </c>
      <c r="B54" s="37">
        <v>3</v>
      </c>
      <c r="C54" s="36" t="s">
        <v>169</v>
      </c>
      <c r="D54" s="46" t="s">
        <v>170</v>
      </c>
      <c r="E54" s="36"/>
      <c r="F54" s="36" t="s">
        <v>171</v>
      </c>
      <c r="G54" s="39" t="s">
        <v>171</v>
      </c>
      <c r="H54" s="60" t="s">
        <v>164</v>
      </c>
      <c r="I54" s="60">
        <v>20</v>
      </c>
      <c r="J54" s="60" t="s">
        <v>164</v>
      </c>
      <c r="K54" s="60">
        <v>20</v>
      </c>
      <c r="L54" s="64">
        <v>500</v>
      </c>
      <c r="M54" s="62">
        <v>10000</v>
      </c>
      <c r="N54" s="30"/>
      <c r="O54" s="25" t="s">
        <v>115</v>
      </c>
    </row>
    <row r="55" spans="1:15" ht="41.25" hidden="1" customHeight="1" x14ac:dyDescent="0.25">
      <c r="A55" s="25" t="s">
        <v>160</v>
      </c>
      <c r="B55" s="37">
        <v>4</v>
      </c>
      <c r="C55" s="36" t="s">
        <v>172</v>
      </c>
      <c r="D55" s="46" t="s">
        <v>173</v>
      </c>
      <c r="E55" s="36"/>
      <c r="F55" s="36" t="s">
        <v>174</v>
      </c>
      <c r="G55" s="39" t="s">
        <v>174</v>
      </c>
      <c r="H55" s="60" t="s">
        <v>164</v>
      </c>
      <c r="I55" s="60">
        <v>5</v>
      </c>
      <c r="J55" s="60" t="s">
        <v>164</v>
      </c>
      <c r="K55" s="60">
        <v>5</v>
      </c>
      <c r="L55" s="64">
        <v>45</v>
      </c>
      <c r="M55" s="62">
        <v>225</v>
      </c>
      <c r="N55" s="30"/>
      <c r="O55" s="25" t="s">
        <v>26</v>
      </c>
    </row>
    <row r="56" spans="1:15" s="21" customFormat="1" ht="41.25" hidden="1" customHeight="1" x14ac:dyDescent="0.25">
      <c r="A56" s="22" t="s">
        <v>160</v>
      </c>
      <c r="B56" s="43">
        <v>5</v>
      </c>
      <c r="C56" s="45" t="s">
        <v>175</v>
      </c>
      <c r="D56" s="15" t="s">
        <v>176</v>
      </c>
      <c r="E56" s="36"/>
      <c r="F56" s="45" t="s">
        <v>177</v>
      </c>
      <c r="G56" s="46" t="s">
        <v>178</v>
      </c>
      <c r="H56" s="65" t="s">
        <v>164</v>
      </c>
      <c r="I56" s="65">
        <v>200</v>
      </c>
      <c r="J56" s="65" t="s">
        <v>164</v>
      </c>
      <c r="K56" s="65">
        <v>200</v>
      </c>
      <c r="L56" s="66">
        <v>7</v>
      </c>
      <c r="M56" s="66">
        <v>1400</v>
      </c>
      <c r="N56" s="19"/>
      <c r="O56" s="22" t="s">
        <v>26</v>
      </c>
    </row>
    <row r="57" spans="1:15" s="21" customFormat="1" ht="41.25" hidden="1" customHeight="1" x14ac:dyDescent="0.25">
      <c r="A57" s="22" t="s">
        <v>179</v>
      </c>
      <c r="B57" s="23">
        <v>1</v>
      </c>
      <c r="C57" s="67" t="s">
        <v>180</v>
      </c>
      <c r="D57" s="16" t="s">
        <v>180</v>
      </c>
      <c r="E57" s="36"/>
      <c r="F57" s="24" t="s">
        <v>181</v>
      </c>
      <c r="G57" s="11" t="s">
        <v>181</v>
      </c>
      <c r="H57" s="16" t="s">
        <v>20</v>
      </c>
      <c r="I57" s="16">
        <v>15</v>
      </c>
      <c r="J57" s="16" t="s">
        <v>20</v>
      </c>
      <c r="K57" s="16">
        <v>15</v>
      </c>
      <c r="L57" s="17">
        <v>200</v>
      </c>
      <c r="M57" s="18">
        <f t="shared" ref="M57:M94" si="1">L57*K57</f>
        <v>3000</v>
      </c>
      <c r="N57" s="30"/>
      <c r="O57" s="22" t="s">
        <v>79</v>
      </c>
    </row>
    <row r="58" spans="1:15" ht="41.25" hidden="1" customHeight="1" x14ac:dyDescent="0.25">
      <c r="A58" s="25" t="s">
        <v>179</v>
      </c>
      <c r="B58" s="35">
        <v>2</v>
      </c>
      <c r="C58" s="68" t="s">
        <v>182</v>
      </c>
      <c r="D58" s="28" t="s">
        <v>182</v>
      </c>
      <c r="E58" s="27"/>
      <c r="F58" s="69" t="s">
        <v>183</v>
      </c>
      <c r="G58" s="28" t="s">
        <v>183</v>
      </c>
      <c r="H58" s="28" t="s">
        <v>20</v>
      </c>
      <c r="I58" s="28">
        <v>8000</v>
      </c>
      <c r="J58" s="28" t="s">
        <v>20</v>
      </c>
      <c r="K58" s="28">
        <v>8000</v>
      </c>
      <c r="L58" s="34">
        <v>20</v>
      </c>
      <c r="M58" s="29">
        <f t="shared" si="1"/>
        <v>160000</v>
      </c>
      <c r="N58" s="30"/>
      <c r="O58" s="25" t="s">
        <v>26</v>
      </c>
    </row>
    <row r="59" spans="1:15" ht="41.25" hidden="1" customHeight="1" x14ac:dyDescent="0.25">
      <c r="A59" s="25" t="s">
        <v>179</v>
      </c>
      <c r="B59" s="35">
        <v>3</v>
      </c>
      <c r="C59" s="70" t="s">
        <v>184</v>
      </c>
      <c r="D59" s="71" t="s">
        <v>184</v>
      </c>
      <c r="E59" s="27"/>
      <c r="F59" s="72" t="s">
        <v>185</v>
      </c>
      <c r="G59" s="73" t="s">
        <v>185</v>
      </c>
      <c r="H59" s="28" t="s">
        <v>20</v>
      </c>
      <c r="I59" s="28">
        <v>1500</v>
      </c>
      <c r="J59" s="28" t="s">
        <v>20</v>
      </c>
      <c r="K59" s="28">
        <v>1500</v>
      </c>
      <c r="L59" s="34">
        <v>60</v>
      </c>
      <c r="M59" s="29">
        <f t="shared" si="1"/>
        <v>90000</v>
      </c>
      <c r="N59" s="30"/>
      <c r="O59" s="25" t="s">
        <v>26</v>
      </c>
    </row>
    <row r="60" spans="1:15" ht="41.25" hidden="1" customHeight="1" x14ac:dyDescent="0.25">
      <c r="A60" s="25" t="s">
        <v>179</v>
      </c>
      <c r="B60" s="35">
        <v>4</v>
      </c>
      <c r="C60" s="34" t="s">
        <v>186</v>
      </c>
      <c r="D60" s="74" t="s">
        <v>187</v>
      </c>
      <c r="E60" s="27"/>
      <c r="F60" s="72" t="s">
        <v>188</v>
      </c>
      <c r="G60" s="13" t="s">
        <v>189</v>
      </c>
      <c r="H60" s="28" t="s">
        <v>20</v>
      </c>
      <c r="I60" s="28">
        <v>20</v>
      </c>
      <c r="J60" s="28" t="s">
        <v>20</v>
      </c>
      <c r="K60" s="28">
        <v>20</v>
      </c>
      <c r="L60" s="34">
        <v>50</v>
      </c>
      <c r="M60" s="29">
        <f t="shared" si="1"/>
        <v>1000</v>
      </c>
      <c r="N60" s="75" t="s">
        <v>187</v>
      </c>
      <c r="O60" s="25" t="s">
        <v>26</v>
      </c>
    </row>
    <row r="61" spans="1:15" ht="41.25" hidden="1" customHeight="1" x14ac:dyDescent="0.25">
      <c r="A61" s="25" t="s">
        <v>179</v>
      </c>
      <c r="B61" s="35">
        <v>5</v>
      </c>
      <c r="C61" s="76" t="s">
        <v>190</v>
      </c>
      <c r="D61" s="48" t="s">
        <v>191</v>
      </c>
      <c r="E61" s="27"/>
      <c r="F61" s="76" t="s">
        <v>190</v>
      </c>
      <c r="G61" s="48" t="s">
        <v>192</v>
      </c>
      <c r="H61" s="28" t="s">
        <v>20</v>
      </c>
      <c r="I61" s="28">
        <v>50</v>
      </c>
      <c r="J61" s="28" t="s">
        <v>20</v>
      </c>
      <c r="K61" s="28">
        <v>50</v>
      </c>
      <c r="L61" s="34">
        <v>20</v>
      </c>
      <c r="M61" s="29">
        <f t="shared" si="1"/>
        <v>1000</v>
      </c>
      <c r="N61" s="30"/>
      <c r="O61" s="25" t="s">
        <v>193</v>
      </c>
    </row>
    <row r="62" spans="1:15" ht="41.25" hidden="1" customHeight="1" x14ac:dyDescent="0.25">
      <c r="A62" s="25" t="s">
        <v>179</v>
      </c>
      <c r="B62" s="35">
        <v>8</v>
      </c>
      <c r="C62" s="79" t="s">
        <v>194</v>
      </c>
      <c r="D62" s="80" t="s">
        <v>194</v>
      </c>
      <c r="E62" s="81"/>
      <c r="F62" s="82" t="s">
        <v>195</v>
      </c>
      <c r="G62" s="83" t="s">
        <v>195</v>
      </c>
      <c r="H62" s="84" t="s">
        <v>20</v>
      </c>
      <c r="I62" s="28">
        <v>700</v>
      </c>
      <c r="J62" s="84" t="s">
        <v>20</v>
      </c>
      <c r="K62" s="28">
        <v>700</v>
      </c>
      <c r="L62" s="34">
        <v>200</v>
      </c>
      <c r="M62" s="29">
        <f t="shared" si="1"/>
        <v>140000</v>
      </c>
      <c r="N62" s="30"/>
      <c r="O62" s="25" t="s">
        <v>26</v>
      </c>
    </row>
    <row r="63" spans="1:15" ht="41.25" hidden="1" customHeight="1" x14ac:dyDescent="0.25">
      <c r="A63" s="25" t="s">
        <v>179</v>
      </c>
      <c r="B63" s="35">
        <v>9</v>
      </c>
      <c r="C63" s="85" t="s">
        <v>196</v>
      </c>
      <c r="D63" s="86" t="s">
        <v>196</v>
      </c>
      <c r="E63" s="81"/>
      <c r="F63" s="85" t="s">
        <v>197</v>
      </c>
      <c r="G63" s="86" t="s">
        <v>197</v>
      </c>
      <c r="H63" s="87" t="s">
        <v>20</v>
      </c>
      <c r="I63" s="28">
        <v>60000</v>
      </c>
      <c r="J63" s="87" t="s">
        <v>20</v>
      </c>
      <c r="K63" s="28">
        <v>60000</v>
      </c>
      <c r="L63" s="34">
        <v>1.2</v>
      </c>
      <c r="M63" s="29">
        <f t="shared" si="1"/>
        <v>72000</v>
      </c>
      <c r="N63" s="30"/>
      <c r="O63" s="25" t="s">
        <v>26</v>
      </c>
    </row>
    <row r="64" spans="1:15" ht="41.25" hidden="1" customHeight="1" x14ac:dyDescent="0.25">
      <c r="A64" s="25" t="s">
        <v>179</v>
      </c>
      <c r="B64" s="35">
        <v>10</v>
      </c>
      <c r="C64" s="85" t="s">
        <v>198</v>
      </c>
      <c r="D64" s="86" t="s">
        <v>198</v>
      </c>
      <c r="E64" s="81"/>
      <c r="F64" s="85" t="s">
        <v>199</v>
      </c>
      <c r="G64" s="86" t="s">
        <v>199</v>
      </c>
      <c r="H64" s="87" t="s">
        <v>20</v>
      </c>
      <c r="I64" s="28">
        <v>500</v>
      </c>
      <c r="J64" s="87" t="s">
        <v>20</v>
      </c>
      <c r="K64" s="28">
        <v>500</v>
      </c>
      <c r="L64" s="34">
        <v>50</v>
      </c>
      <c r="M64" s="29">
        <f t="shared" si="1"/>
        <v>25000</v>
      </c>
      <c r="N64" s="30"/>
      <c r="O64" s="25" t="s">
        <v>26</v>
      </c>
    </row>
    <row r="65" spans="1:15" ht="41.25" hidden="1" customHeight="1" x14ac:dyDescent="0.25">
      <c r="A65" s="25" t="s">
        <v>179</v>
      </c>
      <c r="B65" s="35">
        <v>11</v>
      </c>
      <c r="C65" s="76" t="s">
        <v>200</v>
      </c>
      <c r="D65" s="48" t="s">
        <v>201</v>
      </c>
      <c r="E65" s="81"/>
      <c r="F65" s="88" t="s">
        <v>202</v>
      </c>
      <c r="G65" s="13" t="s">
        <v>203</v>
      </c>
      <c r="H65" s="87" t="s">
        <v>20</v>
      </c>
      <c r="I65" s="28">
        <v>2</v>
      </c>
      <c r="J65" s="87" t="s">
        <v>20</v>
      </c>
      <c r="K65" s="28">
        <v>2</v>
      </c>
      <c r="L65" s="34">
        <v>2000</v>
      </c>
      <c r="M65" s="29">
        <f t="shared" si="1"/>
        <v>4000</v>
      </c>
      <c r="N65" s="30"/>
      <c r="O65" s="25" t="s">
        <v>79</v>
      </c>
    </row>
    <row r="66" spans="1:15" ht="41.25" hidden="1" customHeight="1" x14ac:dyDescent="0.25">
      <c r="A66" s="25" t="s">
        <v>179</v>
      </c>
      <c r="B66" s="35">
        <v>12</v>
      </c>
      <c r="C66" s="76" t="s">
        <v>204</v>
      </c>
      <c r="D66" s="89" t="s">
        <v>204</v>
      </c>
      <c r="E66" s="81"/>
      <c r="F66" s="68" t="s">
        <v>205</v>
      </c>
      <c r="G66" s="48" t="s">
        <v>206</v>
      </c>
      <c r="H66" s="87" t="s">
        <v>20</v>
      </c>
      <c r="I66" s="28">
        <v>10</v>
      </c>
      <c r="J66" s="87" t="s">
        <v>20</v>
      </c>
      <c r="K66" s="28">
        <v>10</v>
      </c>
      <c r="L66" s="34">
        <v>500</v>
      </c>
      <c r="M66" s="29">
        <f t="shared" si="1"/>
        <v>5000</v>
      </c>
      <c r="N66" s="30"/>
      <c r="O66" s="25" t="s">
        <v>115</v>
      </c>
    </row>
    <row r="67" spans="1:15" ht="41.25" hidden="1" customHeight="1" x14ac:dyDescent="0.25">
      <c r="A67" s="25" t="s">
        <v>179</v>
      </c>
      <c r="B67" s="35">
        <v>13</v>
      </c>
      <c r="C67" s="76" t="s">
        <v>207</v>
      </c>
      <c r="D67" s="89" t="s">
        <v>207</v>
      </c>
      <c r="E67" s="81"/>
      <c r="F67" s="76" t="s">
        <v>207</v>
      </c>
      <c r="G67" s="89" t="s">
        <v>207</v>
      </c>
      <c r="H67" s="87" t="s">
        <v>20</v>
      </c>
      <c r="I67" s="28">
        <v>100</v>
      </c>
      <c r="J67" s="87" t="s">
        <v>20</v>
      </c>
      <c r="K67" s="28">
        <v>100</v>
      </c>
      <c r="L67" s="34">
        <v>150</v>
      </c>
      <c r="M67" s="29">
        <f t="shared" si="1"/>
        <v>15000</v>
      </c>
      <c r="N67" s="30"/>
      <c r="O67" s="25" t="s">
        <v>26</v>
      </c>
    </row>
    <row r="68" spans="1:15" ht="41.25" hidden="1" customHeight="1" x14ac:dyDescent="0.25">
      <c r="A68" s="25" t="s">
        <v>179</v>
      </c>
      <c r="B68" s="35">
        <v>15</v>
      </c>
      <c r="C68" s="27" t="s">
        <v>208</v>
      </c>
      <c r="D68" s="15" t="s">
        <v>209</v>
      </c>
      <c r="E68" s="81"/>
      <c r="F68" s="27" t="s">
        <v>208</v>
      </c>
      <c r="G68" s="33" t="s">
        <v>208</v>
      </c>
      <c r="H68" s="87" t="s">
        <v>20</v>
      </c>
      <c r="I68" s="28">
        <v>5</v>
      </c>
      <c r="J68" s="87" t="s">
        <v>20</v>
      </c>
      <c r="K68" s="28">
        <v>5</v>
      </c>
      <c r="L68" s="34">
        <v>1000</v>
      </c>
      <c r="M68" s="29">
        <f t="shared" si="1"/>
        <v>5000</v>
      </c>
      <c r="N68" s="30"/>
      <c r="O68" s="25" t="s">
        <v>115</v>
      </c>
    </row>
    <row r="69" spans="1:15" ht="41.25" hidden="1" customHeight="1" x14ac:dyDescent="0.25">
      <c r="A69" s="25" t="s">
        <v>179</v>
      </c>
      <c r="B69" s="35">
        <v>16</v>
      </c>
      <c r="C69" s="27" t="s">
        <v>210</v>
      </c>
      <c r="D69" s="33" t="s">
        <v>210</v>
      </c>
      <c r="E69" s="81"/>
      <c r="F69" s="27" t="s">
        <v>211</v>
      </c>
      <c r="G69" s="33" t="s">
        <v>211</v>
      </c>
      <c r="H69" s="87"/>
      <c r="I69" s="28">
        <v>200</v>
      </c>
      <c r="J69" s="87"/>
      <c r="K69" s="28">
        <v>200</v>
      </c>
      <c r="L69" s="34">
        <v>400</v>
      </c>
      <c r="M69" s="29">
        <f t="shared" si="1"/>
        <v>80000</v>
      </c>
      <c r="N69" s="30"/>
      <c r="O69" s="25" t="s">
        <v>26</v>
      </c>
    </row>
    <row r="70" spans="1:15" ht="41.25" hidden="1" customHeight="1" x14ac:dyDescent="0.25">
      <c r="A70" s="25" t="s">
        <v>179</v>
      </c>
      <c r="B70" s="35">
        <v>17</v>
      </c>
      <c r="C70" s="27" t="s">
        <v>212</v>
      </c>
      <c r="D70" s="15" t="s">
        <v>213</v>
      </c>
      <c r="E70" s="81"/>
      <c r="F70" s="27" t="s">
        <v>212</v>
      </c>
      <c r="G70" s="33" t="s">
        <v>212</v>
      </c>
      <c r="H70" s="87" t="s">
        <v>20</v>
      </c>
      <c r="I70" s="28">
        <v>6</v>
      </c>
      <c r="J70" s="87" t="s">
        <v>20</v>
      </c>
      <c r="K70" s="28">
        <v>6</v>
      </c>
      <c r="L70" s="34">
        <v>10000</v>
      </c>
      <c r="M70" s="29">
        <f t="shared" si="1"/>
        <v>60000</v>
      </c>
      <c r="N70" s="30"/>
      <c r="O70" s="25" t="s">
        <v>214</v>
      </c>
    </row>
    <row r="71" spans="1:15" ht="41.25" hidden="1" customHeight="1" x14ac:dyDescent="0.25">
      <c r="A71" s="25" t="s">
        <v>179</v>
      </c>
      <c r="B71" s="35">
        <v>18</v>
      </c>
      <c r="C71" s="27" t="s">
        <v>215</v>
      </c>
      <c r="D71" s="15" t="s">
        <v>216</v>
      </c>
      <c r="E71" s="81"/>
      <c r="F71" s="27" t="s">
        <v>217</v>
      </c>
      <c r="G71" s="15" t="s">
        <v>218</v>
      </c>
      <c r="H71" s="28" t="s">
        <v>219</v>
      </c>
      <c r="I71" s="28">
        <v>5</v>
      </c>
      <c r="J71" s="28" t="s">
        <v>219</v>
      </c>
      <c r="K71" s="28">
        <v>5</v>
      </c>
      <c r="L71" s="34">
        <v>800</v>
      </c>
      <c r="M71" s="29">
        <f t="shared" si="1"/>
        <v>4000</v>
      </c>
      <c r="N71" s="30"/>
      <c r="O71" s="25" t="s">
        <v>115</v>
      </c>
    </row>
    <row r="72" spans="1:15" ht="41.25" hidden="1" customHeight="1" x14ac:dyDescent="0.25">
      <c r="A72" s="25" t="s">
        <v>179</v>
      </c>
      <c r="B72" s="35">
        <v>19</v>
      </c>
      <c r="C72" s="27" t="s">
        <v>220</v>
      </c>
      <c r="D72" s="15" t="s">
        <v>221</v>
      </c>
      <c r="E72" s="81"/>
      <c r="F72" s="27" t="s">
        <v>222</v>
      </c>
      <c r="G72" s="15" t="s">
        <v>223</v>
      </c>
      <c r="H72" s="28" t="s">
        <v>219</v>
      </c>
      <c r="I72" s="28">
        <v>3</v>
      </c>
      <c r="J72" s="28" t="s">
        <v>219</v>
      </c>
      <c r="K72" s="28">
        <v>3</v>
      </c>
      <c r="L72" s="34">
        <v>300</v>
      </c>
      <c r="M72" s="29">
        <f t="shared" si="1"/>
        <v>900</v>
      </c>
      <c r="N72" s="30"/>
      <c r="O72" s="25" t="s">
        <v>115</v>
      </c>
    </row>
    <row r="73" spans="1:15" ht="41.25" hidden="1" customHeight="1" x14ac:dyDescent="0.25">
      <c r="A73" s="25" t="s">
        <v>179</v>
      </c>
      <c r="B73" s="35">
        <v>21</v>
      </c>
      <c r="C73" s="93" t="s">
        <v>224</v>
      </c>
      <c r="D73" s="94" t="s">
        <v>224</v>
      </c>
      <c r="E73" s="81"/>
      <c r="F73" s="25" t="s">
        <v>225</v>
      </c>
      <c r="G73" s="95" t="s">
        <v>226</v>
      </c>
      <c r="H73" s="28" t="s">
        <v>20</v>
      </c>
      <c r="I73" s="28">
        <v>600</v>
      </c>
      <c r="J73" s="28" t="s">
        <v>20</v>
      </c>
      <c r="K73" s="28">
        <v>600</v>
      </c>
      <c r="L73" s="34">
        <v>350</v>
      </c>
      <c r="M73" s="29">
        <f t="shared" si="1"/>
        <v>210000</v>
      </c>
      <c r="N73" s="30"/>
      <c r="O73" s="25" t="s">
        <v>26</v>
      </c>
    </row>
    <row r="74" spans="1:15" s="21" customFormat="1" ht="41.25" hidden="1" customHeight="1" x14ac:dyDescent="0.25">
      <c r="A74" s="22" t="s">
        <v>179</v>
      </c>
      <c r="B74" s="23">
        <v>22</v>
      </c>
      <c r="C74" s="58" t="s">
        <v>227</v>
      </c>
      <c r="D74" s="13" t="s">
        <v>228</v>
      </c>
      <c r="E74" s="81"/>
      <c r="F74" s="58" t="s">
        <v>227</v>
      </c>
      <c r="G74" s="13" t="s">
        <v>229</v>
      </c>
      <c r="H74" s="16" t="s">
        <v>20</v>
      </c>
      <c r="I74" s="16">
        <v>50</v>
      </c>
      <c r="J74" s="16" t="s">
        <v>20</v>
      </c>
      <c r="K74" s="16">
        <v>50</v>
      </c>
      <c r="L74" s="17">
        <v>90</v>
      </c>
      <c r="M74" s="18">
        <f t="shared" si="1"/>
        <v>4500</v>
      </c>
      <c r="N74" s="30"/>
      <c r="O74" s="22" t="s">
        <v>26</v>
      </c>
    </row>
    <row r="75" spans="1:15" ht="41.25" hidden="1" customHeight="1" x14ac:dyDescent="0.25">
      <c r="A75" s="25" t="s">
        <v>179</v>
      </c>
      <c r="B75" s="35">
        <v>23</v>
      </c>
      <c r="C75" s="75" t="s">
        <v>230</v>
      </c>
      <c r="D75" s="92" t="s">
        <v>230</v>
      </c>
      <c r="E75" s="81"/>
      <c r="F75" s="75" t="s">
        <v>230</v>
      </c>
      <c r="G75" s="92" t="s">
        <v>230</v>
      </c>
      <c r="H75" s="28"/>
      <c r="I75" s="28">
        <v>200</v>
      </c>
      <c r="J75" s="28"/>
      <c r="K75" s="28">
        <v>200</v>
      </c>
      <c r="L75" s="34">
        <v>40</v>
      </c>
      <c r="M75" s="29">
        <f t="shared" si="1"/>
        <v>8000</v>
      </c>
      <c r="N75" s="30"/>
      <c r="O75" s="25" t="s">
        <v>115</v>
      </c>
    </row>
    <row r="76" spans="1:15" ht="41.25" hidden="1" customHeight="1" x14ac:dyDescent="0.25">
      <c r="A76" s="25" t="s">
        <v>179</v>
      </c>
      <c r="B76" s="35">
        <v>24</v>
      </c>
      <c r="C76" s="30" t="s">
        <v>231</v>
      </c>
      <c r="D76" s="92" t="s">
        <v>231</v>
      </c>
      <c r="E76" s="81"/>
      <c r="F76" s="25" t="s">
        <v>232</v>
      </c>
      <c r="G76" s="92" t="s">
        <v>232</v>
      </c>
      <c r="H76" s="26" t="s">
        <v>233</v>
      </c>
      <c r="I76" s="28">
        <v>30</v>
      </c>
      <c r="J76" s="26" t="s">
        <v>233</v>
      </c>
      <c r="K76" s="28">
        <v>30</v>
      </c>
      <c r="L76" s="34">
        <v>5</v>
      </c>
      <c r="M76" s="29">
        <f t="shared" si="1"/>
        <v>150</v>
      </c>
      <c r="N76" s="30"/>
      <c r="O76" s="25" t="s">
        <v>26</v>
      </c>
    </row>
    <row r="77" spans="1:15" ht="41.25" hidden="1" customHeight="1" x14ac:dyDescent="0.25">
      <c r="A77" s="25" t="s">
        <v>179</v>
      </c>
      <c r="B77" s="35">
        <v>25</v>
      </c>
      <c r="C77" s="30" t="s">
        <v>234</v>
      </c>
      <c r="D77" s="92" t="s">
        <v>234</v>
      </c>
      <c r="E77" s="81"/>
      <c r="F77" s="25" t="s">
        <v>235</v>
      </c>
      <c r="G77" s="95" t="s">
        <v>236</v>
      </c>
      <c r="H77" s="26" t="s">
        <v>233</v>
      </c>
      <c r="I77" s="28">
        <v>50</v>
      </c>
      <c r="J77" s="26" t="s">
        <v>233</v>
      </c>
      <c r="K77" s="28">
        <v>50</v>
      </c>
      <c r="L77" s="34">
        <v>500</v>
      </c>
      <c r="M77" s="29">
        <f t="shared" si="1"/>
        <v>25000</v>
      </c>
      <c r="N77" s="30"/>
      <c r="O77" s="25" t="s">
        <v>115</v>
      </c>
    </row>
    <row r="78" spans="1:15" ht="41.25" hidden="1" customHeight="1" x14ac:dyDescent="0.25">
      <c r="A78" s="25" t="s">
        <v>179</v>
      </c>
      <c r="B78" s="35">
        <v>26</v>
      </c>
      <c r="C78" s="27" t="s">
        <v>237</v>
      </c>
      <c r="D78" s="33" t="s">
        <v>237</v>
      </c>
      <c r="E78" s="81"/>
      <c r="F78" s="27" t="s">
        <v>237</v>
      </c>
      <c r="G78" s="33" t="s">
        <v>237</v>
      </c>
      <c r="H78" s="26" t="s">
        <v>233</v>
      </c>
      <c r="I78" s="28">
        <v>10</v>
      </c>
      <c r="J78" s="26" t="s">
        <v>233</v>
      </c>
      <c r="K78" s="28">
        <v>10</v>
      </c>
      <c r="L78" s="34">
        <v>2000</v>
      </c>
      <c r="M78" s="29">
        <f t="shared" si="1"/>
        <v>20000</v>
      </c>
      <c r="N78" s="30"/>
      <c r="O78" s="25" t="s">
        <v>115</v>
      </c>
    </row>
    <row r="79" spans="1:15" s="21" customFormat="1" ht="41.25" hidden="1" customHeight="1" x14ac:dyDescent="0.25">
      <c r="A79" s="22" t="s">
        <v>179</v>
      </c>
      <c r="B79" s="23">
        <v>28</v>
      </c>
      <c r="C79" s="281" t="s">
        <v>238</v>
      </c>
      <c r="D79" s="10" t="s">
        <v>238</v>
      </c>
      <c r="E79" s="24"/>
      <c r="F79" s="281" t="s">
        <v>238</v>
      </c>
      <c r="G79" s="10" t="s">
        <v>238</v>
      </c>
      <c r="H79" s="172" t="s">
        <v>233</v>
      </c>
      <c r="I79" s="16">
        <v>4000</v>
      </c>
      <c r="J79" s="172" t="s">
        <v>233</v>
      </c>
      <c r="K79" s="16">
        <v>4000</v>
      </c>
      <c r="L79" s="17">
        <v>0.3</v>
      </c>
      <c r="M79" s="18">
        <f t="shared" si="1"/>
        <v>1200</v>
      </c>
      <c r="N79" s="19"/>
      <c r="O79" s="22" t="s">
        <v>26</v>
      </c>
    </row>
    <row r="80" spans="1:15" s="21" customFormat="1" ht="41.25" hidden="1" customHeight="1" x14ac:dyDescent="0.25">
      <c r="A80" s="22" t="s">
        <v>179</v>
      </c>
      <c r="B80" s="23">
        <v>29</v>
      </c>
      <c r="C80" s="281" t="s">
        <v>239</v>
      </c>
      <c r="D80" s="10" t="s">
        <v>239</v>
      </c>
      <c r="E80" s="24"/>
      <c r="F80" s="281" t="s">
        <v>240</v>
      </c>
      <c r="G80" s="10" t="s">
        <v>240</v>
      </c>
      <c r="H80" s="172"/>
      <c r="I80" s="16">
        <v>6000</v>
      </c>
      <c r="J80" s="172"/>
      <c r="K80" s="16">
        <v>6000</v>
      </c>
      <c r="L80" s="17">
        <v>3</v>
      </c>
      <c r="M80" s="18">
        <f t="shared" si="1"/>
        <v>18000</v>
      </c>
      <c r="N80" s="19"/>
      <c r="O80" s="22" t="s">
        <v>26</v>
      </c>
    </row>
    <row r="81" spans="1:15" s="21" customFormat="1" ht="41.25" hidden="1" customHeight="1" x14ac:dyDescent="0.25">
      <c r="A81" s="22" t="s">
        <v>179</v>
      </c>
      <c r="B81" s="23">
        <v>30</v>
      </c>
      <c r="C81" s="281" t="s">
        <v>241</v>
      </c>
      <c r="D81" s="10" t="s">
        <v>241</v>
      </c>
      <c r="E81" s="24"/>
      <c r="F81" s="281" t="s">
        <v>242</v>
      </c>
      <c r="G81" s="10" t="s">
        <v>242</v>
      </c>
      <c r="H81" s="172"/>
      <c r="I81" s="16">
        <v>4000</v>
      </c>
      <c r="J81" s="172"/>
      <c r="K81" s="16">
        <v>4000</v>
      </c>
      <c r="L81" s="17">
        <v>3</v>
      </c>
      <c r="M81" s="18">
        <f t="shared" si="1"/>
        <v>12000</v>
      </c>
      <c r="N81" s="19"/>
      <c r="O81" s="22" t="s">
        <v>26</v>
      </c>
    </row>
    <row r="82" spans="1:15" ht="41.25" hidden="1" customHeight="1" x14ac:dyDescent="0.25">
      <c r="A82" s="25" t="s">
        <v>179</v>
      </c>
      <c r="B82" s="35">
        <v>37</v>
      </c>
      <c r="C82" s="88" t="s">
        <v>243</v>
      </c>
      <c r="D82" s="73" t="s">
        <v>243</v>
      </c>
      <c r="E82" s="81"/>
      <c r="F82" s="88" t="s">
        <v>243</v>
      </c>
      <c r="G82" s="73" t="s">
        <v>243</v>
      </c>
      <c r="H82" s="34" t="s">
        <v>233</v>
      </c>
      <c r="I82" s="28">
        <v>100</v>
      </c>
      <c r="J82" s="34" t="s">
        <v>233</v>
      </c>
      <c r="K82" s="28">
        <v>100</v>
      </c>
      <c r="L82" s="34">
        <v>120</v>
      </c>
      <c r="M82" s="29">
        <f t="shared" si="1"/>
        <v>12000</v>
      </c>
      <c r="N82" s="30"/>
      <c r="O82" s="25" t="s">
        <v>26</v>
      </c>
    </row>
    <row r="83" spans="1:15" ht="41.25" hidden="1" customHeight="1" x14ac:dyDescent="0.25">
      <c r="A83" s="25" t="s">
        <v>179</v>
      </c>
      <c r="B83" s="35">
        <v>38</v>
      </c>
      <c r="C83" s="88" t="s">
        <v>244</v>
      </c>
      <c r="D83" s="73" t="s">
        <v>244</v>
      </c>
      <c r="E83" s="81"/>
      <c r="F83" s="27" t="s">
        <v>245</v>
      </c>
      <c r="G83" s="15" t="s">
        <v>246</v>
      </c>
      <c r="H83" s="34" t="s">
        <v>233</v>
      </c>
      <c r="I83" s="28">
        <v>200</v>
      </c>
      <c r="J83" s="34" t="s">
        <v>233</v>
      </c>
      <c r="K83" s="28">
        <v>200</v>
      </c>
      <c r="L83" s="34">
        <v>100</v>
      </c>
      <c r="M83" s="29">
        <f t="shared" si="1"/>
        <v>20000</v>
      </c>
      <c r="N83" s="30"/>
      <c r="O83" s="25" t="s">
        <v>26</v>
      </c>
    </row>
    <row r="84" spans="1:15" ht="41.25" hidden="1" customHeight="1" x14ac:dyDescent="0.25">
      <c r="A84" s="25" t="s">
        <v>179</v>
      </c>
      <c r="B84" s="35">
        <v>39</v>
      </c>
      <c r="C84" s="96" t="s">
        <v>247</v>
      </c>
      <c r="D84" s="78" t="s">
        <v>247</v>
      </c>
      <c r="E84" s="81"/>
      <c r="F84" s="27" t="s">
        <v>248</v>
      </c>
      <c r="G84" s="33" t="s">
        <v>249</v>
      </c>
      <c r="H84" s="34" t="s">
        <v>233</v>
      </c>
      <c r="I84" s="28">
        <v>3</v>
      </c>
      <c r="J84" s="34" t="s">
        <v>233</v>
      </c>
      <c r="K84" s="28">
        <v>3</v>
      </c>
      <c r="L84" s="34">
        <v>2500</v>
      </c>
      <c r="M84" s="29">
        <f t="shared" si="1"/>
        <v>7500</v>
      </c>
      <c r="N84" s="30"/>
      <c r="O84" s="25" t="s">
        <v>250</v>
      </c>
    </row>
    <row r="85" spans="1:15" ht="41.25" hidden="1" customHeight="1" x14ac:dyDescent="0.25">
      <c r="A85" s="25" t="s">
        <v>179</v>
      </c>
      <c r="B85" s="35">
        <v>40</v>
      </c>
      <c r="C85" s="77" t="s">
        <v>251</v>
      </c>
      <c r="D85" s="78" t="s">
        <v>251</v>
      </c>
      <c r="E85" s="81"/>
      <c r="F85" s="27" t="s">
        <v>252</v>
      </c>
      <c r="G85" s="33" t="s">
        <v>252</v>
      </c>
      <c r="H85" s="34" t="s">
        <v>233</v>
      </c>
      <c r="I85" s="28">
        <v>30</v>
      </c>
      <c r="J85" s="34" t="s">
        <v>233</v>
      </c>
      <c r="K85" s="28">
        <v>30</v>
      </c>
      <c r="L85" s="34">
        <v>550</v>
      </c>
      <c r="M85" s="29">
        <f t="shared" si="1"/>
        <v>16500</v>
      </c>
      <c r="N85" s="30"/>
      <c r="O85" s="25" t="s">
        <v>26</v>
      </c>
    </row>
    <row r="86" spans="1:15" ht="41.25" hidden="1" customHeight="1" x14ac:dyDescent="0.25">
      <c r="A86" s="25" t="s">
        <v>179</v>
      </c>
      <c r="B86" s="35">
        <v>41</v>
      </c>
      <c r="C86" s="90" t="s">
        <v>253</v>
      </c>
      <c r="D86" s="73" t="s">
        <v>253</v>
      </c>
      <c r="E86" s="81"/>
      <c r="F86" s="90" t="s">
        <v>253</v>
      </c>
      <c r="G86" s="73" t="s">
        <v>253</v>
      </c>
      <c r="H86" s="34" t="s">
        <v>233</v>
      </c>
      <c r="I86" s="28">
        <v>2</v>
      </c>
      <c r="J86" s="34" t="s">
        <v>233</v>
      </c>
      <c r="K86" s="28">
        <v>2</v>
      </c>
      <c r="L86" s="34">
        <v>8500</v>
      </c>
      <c r="M86" s="29">
        <f t="shared" si="1"/>
        <v>17000</v>
      </c>
      <c r="N86" s="30"/>
      <c r="O86" s="25" t="s">
        <v>79</v>
      </c>
    </row>
    <row r="87" spans="1:15" ht="41.25" hidden="1" customHeight="1" x14ac:dyDescent="0.25">
      <c r="A87" s="25" t="s">
        <v>179</v>
      </c>
      <c r="B87" s="35">
        <v>42</v>
      </c>
      <c r="C87" s="90" t="s">
        <v>254</v>
      </c>
      <c r="D87" s="73" t="s">
        <v>254</v>
      </c>
      <c r="E87" s="81"/>
      <c r="F87" s="90" t="s">
        <v>254</v>
      </c>
      <c r="G87" s="73" t="s">
        <v>254</v>
      </c>
      <c r="H87" s="34" t="s">
        <v>233</v>
      </c>
      <c r="I87" s="28">
        <v>2</v>
      </c>
      <c r="J87" s="34" t="s">
        <v>233</v>
      </c>
      <c r="K87" s="28">
        <v>2</v>
      </c>
      <c r="L87" s="34">
        <v>9500</v>
      </c>
      <c r="M87" s="29">
        <f t="shared" si="1"/>
        <v>19000</v>
      </c>
      <c r="N87" s="30"/>
      <c r="O87" s="25" t="s">
        <v>79</v>
      </c>
    </row>
    <row r="88" spans="1:15" ht="41.25" hidden="1" customHeight="1" x14ac:dyDescent="0.25">
      <c r="A88" s="25" t="s">
        <v>179</v>
      </c>
      <c r="B88" s="35">
        <v>43</v>
      </c>
      <c r="C88" s="77" t="s">
        <v>255</v>
      </c>
      <c r="D88" s="78" t="s">
        <v>255</v>
      </c>
      <c r="E88" s="81"/>
      <c r="F88" s="77" t="s">
        <v>256</v>
      </c>
      <c r="G88" s="78" t="s">
        <v>256</v>
      </c>
      <c r="H88" s="34"/>
      <c r="I88" s="28">
        <v>10</v>
      </c>
      <c r="J88" s="34"/>
      <c r="K88" s="28">
        <v>10</v>
      </c>
      <c r="L88" s="34">
        <v>700</v>
      </c>
      <c r="M88" s="29">
        <f t="shared" si="1"/>
        <v>7000</v>
      </c>
      <c r="N88" s="30"/>
      <c r="O88" s="25" t="s">
        <v>250</v>
      </c>
    </row>
    <row r="89" spans="1:15" ht="41.25" hidden="1" customHeight="1" x14ac:dyDescent="0.25">
      <c r="A89" s="25" t="s">
        <v>179</v>
      </c>
      <c r="B89" s="35">
        <v>44</v>
      </c>
      <c r="C89" s="77" t="s">
        <v>257</v>
      </c>
      <c r="D89" s="78" t="s">
        <v>257</v>
      </c>
      <c r="E89" s="81"/>
      <c r="F89" s="77" t="s">
        <v>258</v>
      </c>
      <c r="G89" s="78" t="s">
        <v>258</v>
      </c>
      <c r="H89" s="34"/>
      <c r="I89" s="28">
        <v>7</v>
      </c>
      <c r="J89" s="34"/>
      <c r="K89" s="28">
        <v>7</v>
      </c>
      <c r="L89" s="34">
        <v>500</v>
      </c>
      <c r="M89" s="29">
        <f t="shared" si="1"/>
        <v>3500</v>
      </c>
      <c r="N89" s="30"/>
      <c r="O89" s="25" t="s">
        <v>250</v>
      </c>
    </row>
    <row r="90" spans="1:15" ht="41.25" hidden="1" customHeight="1" x14ac:dyDescent="0.25">
      <c r="A90" s="25" t="s">
        <v>179</v>
      </c>
      <c r="B90" s="35">
        <v>45</v>
      </c>
      <c r="C90" s="77" t="s">
        <v>259</v>
      </c>
      <c r="D90" s="78" t="s">
        <v>259</v>
      </c>
      <c r="E90" s="81"/>
      <c r="F90" s="77" t="s">
        <v>260</v>
      </c>
      <c r="G90" s="78" t="s">
        <v>260</v>
      </c>
      <c r="H90" s="34"/>
      <c r="I90" s="28">
        <v>7</v>
      </c>
      <c r="J90" s="34"/>
      <c r="K90" s="28">
        <v>7</v>
      </c>
      <c r="L90" s="34">
        <v>500</v>
      </c>
      <c r="M90" s="29">
        <f t="shared" si="1"/>
        <v>3500</v>
      </c>
      <c r="N90" s="30"/>
      <c r="O90" s="25" t="s">
        <v>250</v>
      </c>
    </row>
    <row r="91" spans="1:15" ht="41.25" hidden="1" customHeight="1" x14ac:dyDescent="0.25">
      <c r="A91" s="25" t="s">
        <v>179</v>
      </c>
      <c r="B91" s="35">
        <v>46</v>
      </c>
      <c r="C91" s="77" t="s">
        <v>255</v>
      </c>
      <c r="D91" s="97" t="s">
        <v>261</v>
      </c>
      <c r="E91" s="81"/>
      <c r="F91" s="77" t="s">
        <v>262</v>
      </c>
      <c r="G91" s="78" t="s">
        <v>262</v>
      </c>
      <c r="H91" s="34"/>
      <c r="I91" s="28">
        <v>2</v>
      </c>
      <c r="J91" s="34"/>
      <c r="K91" s="28">
        <v>2</v>
      </c>
      <c r="L91" s="34">
        <v>700</v>
      </c>
      <c r="M91" s="29">
        <f t="shared" si="1"/>
        <v>1400</v>
      </c>
      <c r="N91" s="30"/>
      <c r="O91" s="25" t="s">
        <v>250</v>
      </c>
    </row>
    <row r="92" spans="1:15" ht="41.25" hidden="1" customHeight="1" x14ac:dyDescent="0.25">
      <c r="A92" s="25" t="s">
        <v>179</v>
      </c>
      <c r="B92" s="35">
        <v>47</v>
      </c>
      <c r="C92" s="90" t="s">
        <v>263</v>
      </c>
      <c r="D92" s="13" t="s">
        <v>264</v>
      </c>
      <c r="E92" s="81"/>
      <c r="F92" s="90" t="s">
        <v>265</v>
      </c>
      <c r="G92" s="13" t="s">
        <v>266</v>
      </c>
      <c r="H92" s="34"/>
      <c r="I92" s="28">
        <v>18</v>
      </c>
      <c r="J92" s="34"/>
      <c r="K92" s="28">
        <v>18</v>
      </c>
      <c r="L92" s="34">
        <v>1000</v>
      </c>
      <c r="M92" s="29">
        <f t="shared" si="1"/>
        <v>18000</v>
      </c>
      <c r="N92" s="30"/>
      <c r="O92" s="25" t="s">
        <v>250</v>
      </c>
    </row>
    <row r="93" spans="1:15" ht="41.25" hidden="1" customHeight="1" x14ac:dyDescent="0.25">
      <c r="A93" s="25" t="s">
        <v>179</v>
      </c>
      <c r="B93" s="35">
        <v>48</v>
      </c>
      <c r="C93" s="90" t="s">
        <v>267</v>
      </c>
      <c r="D93" s="13" t="s">
        <v>268</v>
      </c>
      <c r="E93" s="81"/>
      <c r="F93" s="90" t="s">
        <v>269</v>
      </c>
      <c r="G93" s="13" t="s">
        <v>270</v>
      </c>
      <c r="H93" s="34"/>
      <c r="I93" s="28">
        <v>4</v>
      </c>
      <c r="J93" s="34"/>
      <c r="K93" s="28">
        <v>4</v>
      </c>
      <c r="L93" s="34">
        <v>1000</v>
      </c>
      <c r="M93" s="29">
        <f t="shared" si="1"/>
        <v>4000</v>
      </c>
      <c r="N93" s="30"/>
      <c r="O93" s="25" t="s">
        <v>250</v>
      </c>
    </row>
    <row r="94" spans="1:15" ht="41.25" hidden="1" customHeight="1" x14ac:dyDescent="0.25">
      <c r="A94" s="25" t="s">
        <v>179</v>
      </c>
      <c r="B94" s="35">
        <v>50</v>
      </c>
      <c r="C94" s="90" t="s">
        <v>271</v>
      </c>
      <c r="D94" s="73" t="s">
        <v>271</v>
      </c>
      <c r="E94" s="81"/>
      <c r="F94" s="90" t="s">
        <v>271</v>
      </c>
      <c r="G94" s="73" t="s">
        <v>271</v>
      </c>
      <c r="H94" s="34" t="s">
        <v>233</v>
      </c>
      <c r="I94" s="28">
        <v>2</v>
      </c>
      <c r="J94" s="34" t="s">
        <v>233</v>
      </c>
      <c r="K94" s="28">
        <v>2</v>
      </c>
      <c r="L94" s="34">
        <v>6500</v>
      </c>
      <c r="M94" s="29">
        <f t="shared" si="1"/>
        <v>13000</v>
      </c>
      <c r="N94" s="30"/>
      <c r="O94" s="25" t="s">
        <v>79</v>
      </c>
    </row>
    <row r="95" spans="1:15" ht="41.25" hidden="1" customHeight="1" x14ac:dyDescent="0.25">
      <c r="A95" s="25" t="s">
        <v>272</v>
      </c>
      <c r="B95" s="33">
        <v>1</v>
      </c>
      <c r="C95" s="72" t="s">
        <v>273</v>
      </c>
      <c r="D95" s="13" t="s">
        <v>274</v>
      </c>
      <c r="E95" s="98" t="s">
        <v>275</v>
      </c>
      <c r="F95" s="69" t="s">
        <v>276</v>
      </c>
      <c r="G95" s="28" t="s">
        <v>276</v>
      </c>
      <c r="H95" s="99" t="s">
        <v>32</v>
      </c>
      <c r="I95" s="33">
        <v>20</v>
      </c>
      <c r="J95" s="99" t="s">
        <v>32</v>
      </c>
      <c r="K95" s="33">
        <v>20</v>
      </c>
      <c r="L95" s="99">
        <v>305</v>
      </c>
      <c r="M95" s="100">
        <f t="shared" ref="M95:M100" si="2">K95*L95</f>
        <v>6100</v>
      </c>
      <c r="N95" s="30"/>
      <c r="O95" s="25" t="s">
        <v>26</v>
      </c>
    </row>
    <row r="96" spans="1:15" ht="41.25" hidden="1" customHeight="1" x14ac:dyDescent="0.25">
      <c r="A96" s="25" t="s">
        <v>272</v>
      </c>
      <c r="B96" s="33">
        <v>2</v>
      </c>
      <c r="C96" s="72" t="s">
        <v>273</v>
      </c>
      <c r="D96" s="13" t="s">
        <v>277</v>
      </c>
      <c r="E96" s="101" t="s">
        <v>278</v>
      </c>
      <c r="F96" s="69" t="s">
        <v>279</v>
      </c>
      <c r="G96" s="28" t="s">
        <v>279</v>
      </c>
      <c r="H96" s="33" t="s">
        <v>32</v>
      </c>
      <c r="I96" s="33">
        <v>70</v>
      </c>
      <c r="J96" s="33" t="s">
        <v>32</v>
      </c>
      <c r="K96" s="33">
        <v>70</v>
      </c>
      <c r="L96" s="33">
        <v>405</v>
      </c>
      <c r="M96" s="100">
        <f t="shared" si="2"/>
        <v>28350</v>
      </c>
      <c r="N96" s="30"/>
      <c r="O96" s="25" t="s">
        <v>26</v>
      </c>
    </row>
    <row r="97" spans="1:17" ht="41.25" hidden="1" customHeight="1" x14ac:dyDescent="0.25">
      <c r="A97" s="25" t="s">
        <v>272</v>
      </c>
      <c r="B97" s="33">
        <v>3</v>
      </c>
      <c r="C97" s="72" t="s">
        <v>273</v>
      </c>
      <c r="D97" s="13" t="s">
        <v>280</v>
      </c>
      <c r="E97" s="101" t="s">
        <v>281</v>
      </c>
      <c r="F97" s="69" t="s">
        <v>282</v>
      </c>
      <c r="G97" s="28" t="s">
        <v>282</v>
      </c>
      <c r="H97" s="33" t="s">
        <v>32</v>
      </c>
      <c r="I97" s="33">
        <v>60</v>
      </c>
      <c r="J97" s="33" t="s">
        <v>32</v>
      </c>
      <c r="K97" s="33">
        <v>60</v>
      </c>
      <c r="L97" s="33">
        <v>609</v>
      </c>
      <c r="M97" s="100">
        <f t="shared" si="2"/>
        <v>36540</v>
      </c>
      <c r="N97" s="30"/>
      <c r="O97" s="25" t="s">
        <v>26</v>
      </c>
    </row>
    <row r="98" spans="1:17" ht="41.25" hidden="1" customHeight="1" x14ac:dyDescent="0.25">
      <c r="A98" s="25" t="s">
        <v>272</v>
      </c>
      <c r="B98" s="33">
        <v>4</v>
      </c>
      <c r="C98" s="72" t="s">
        <v>273</v>
      </c>
      <c r="D98" s="13" t="s">
        <v>283</v>
      </c>
      <c r="E98" s="101" t="s">
        <v>284</v>
      </c>
      <c r="F98" s="69" t="s">
        <v>285</v>
      </c>
      <c r="G98" s="28" t="s">
        <v>285</v>
      </c>
      <c r="H98" s="33" t="s">
        <v>32</v>
      </c>
      <c r="I98" s="33">
        <v>50</v>
      </c>
      <c r="J98" s="33" t="s">
        <v>32</v>
      </c>
      <c r="K98" s="33">
        <v>50</v>
      </c>
      <c r="L98" s="33">
        <v>1015</v>
      </c>
      <c r="M98" s="100">
        <f t="shared" si="2"/>
        <v>50750</v>
      </c>
      <c r="N98" s="30"/>
      <c r="O98" s="25" t="s">
        <v>26</v>
      </c>
    </row>
    <row r="99" spans="1:17" ht="41.25" hidden="1" customHeight="1" x14ac:dyDescent="0.25">
      <c r="A99" s="25" t="s">
        <v>272</v>
      </c>
      <c r="B99" s="33">
        <v>5</v>
      </c>
      <c r="C99" s="72" t="s">
        <v>273</v>
      </c>
      <c r="D99" s="13" t="s">
        <v>286</v>
      </c>
      <c r="E99" s="101" t="s">
        <v>287</v>
      </c>
      <c r="F99" s="69" t="s">
        <v>288</v>
      </c>
      <c r="G99" s="28" t="s">
        <v>288</v>
      </c>
      <c r="H99" s="33" t="s">
        <v>32</v>
      </c>
      <c r="I99" s="33">
        <v>20</v>
      </c>
      <c r="J99" s="33" t="s">
        <v>32</v>
      </c>
      <c r="K99" s="33">
        <v>20</v>
      </c>
      <c r="L99" s="33">
        <v>1218</v>
      </c>
      <c r="M99" s="100">
        <f t="shared" si="2"/>
        <v>24360</v>
      </c>
      <c r="N99" s="30"/>
      <c r="O99" s="25" t="s">
        <v>26</v>
      </c>
    </row>
    <row r="100" spans="1:17" ht="41.25" hidden="1" customHeight="1" x14ac:dyDescent="0.25">
      <c r="A100" s="25" t="s">
        <v>272</v>
      </c>
      <c r="B100" s="33">
        <v>6</v>
      </c>
      <c r="C100" s="72" t="s">
        <v>289</v>
      </c>
      <c r="D100" s="73" t="s">
        <v>289</v>
      </c>
      <c r="E100" s="72" t="s">
        <v>290</v>
      </c>
      <c r="F100" s="72" t="s">
        <v>291</v>
      </c>
      <c r="G100" s="73" t="s">
        <v>291</v>
      </c>
      <c r="H100" s="33" t="s">
        <v>292</v>
      </c>
      <c r="I100" s="33">
        <v>7000</v>
      </c>
      <c r="J100" s="33" t="s">
        <v>292</v>
      </c>
      <c r="K100" s="33">
        <v>7000</v>
      </c>
      <c r="L100" s="33">
        <v>6</v>
      </c>
      <c r="M100" s="100">
        <f t="shared" si="2"/>
        <v>42000</v>
      </c>
      <c r="N100" s="30"/>
      <c r="O100" s="30" t="s">
        <v>293</v>
      </c>
    </row>
    <row r="101" spans="1:17" ht="41.25" hidden="1" customHeight="1" x14ac:dyDescent="0.25">
      <c r="A101" s="25" t="s">
        <v>272</v>
      </c>
      <c r="B101" s="33">
        <v>7</v>
      </c>
      <c r="C101" s="72" t="s">
        <v>294</v>
      </c>
      <c r="D101" s="73" t="s">
        <v>294</v>
      </c>
      <c r="E101" s="72" t="s">
        <v>295</v>
      </c>
      <c r="F101" s="72" t="s">
        <v>296</v>
      </c>
      <c r="G101" s="13" t="s">
        <v>297</v>
      </c>
      <c r="H101" s="33" t="s">
        <v>32</v>
      </c>
      <c r="I101" s="33">
        <v>2000</v>
      </c>
      <c r="J101" s="33" t="s">
        <v>32</v>
      </c>
      <c r="K101" s="33">
        <v>2000</v>
      </c>
      <c r="L101" s="33">
        <v>450</v>
      </c>
      <c r="M101" s="100">
        <v>900000</v>
      </c>
      <c r="N101" s="30"/>
      <c r="O101" s="25" t="s">
        <v>26</v>
      </c>
    </row>
    <row r="102" spans="1:17" ht="41.25" hidden="1" customHeight="1" x14ac:dyDescent="0.25">
      <c r="A102" s="25" t="s">
        <v>272</v>
      </c>
      <c r="B102" s="33">
        <v>8</v>
      </c>
      <c r="C102" s="72" t="s">
        <v>298</v>
      </c>
      <c r="D102" s="13" t="s">
        <v>299</v>
      </c>
      <c r="E102" s="72" t="s">
        <v>300</v>
      </c>
      <c r="F102" s="72" t="s">
        <v>301</v>
      </c>
      <c r="G102" s="73" t="s">
        <v>301</v>
      </c>
      <c r="H102" s="33" t="s">
        <v>32</v>
      </c>
      <c r="I102" s="33">
        <v>200</v>
      </c>
      <c r="J102" s="33" t="s">
        <v>32</v>
      </c>
      <c r="K102" s="33">
        <v>200</v>
      </c>
      <c r="L102" s="33">
        <v>29</v>
      </c>
      <c r="M102" s="100">
        <f>K102*L102</f>
        <v>5800</v>
      </c>
      <c r="N102" s="30"/>
      <c r="O102" s="25" t="s">
        <v>26</v>
      </c>
    </row>
    <row r="103" spans="1:17" ht="41.25" hidden="1" customHeight="1" x14ac:dyDescent="0.25">
      <c r="A103" s="25" t="s">
        <v>272</v>
      </c>
      <c r="B103" s="33">
        <v>9</v>
      </c>
      <c r="C103" s="72" t="s">
        <v>298</v>
      </c>
      <c r="D103" s="13" t="s">
        <v>302</v>
      </c>
      <c r="E103" s="72" t="s">
        <v>303</v>
      </c>
      <c r="F103" s="72" t="s">
        <v>304</v>
      </c>
      <c r="G103" s="73" t="s">
        <v>304</v>
      </c>
      <c r="H103" s="33" t="s">
        <v>32</v>
      </c>
      <c r="I103" s="33">
        <v>600</v>
      </c>
      <c r="J103" s="33" t="s">
        <v>32</v>
      </c>
      <c r="K103" s="33">
        <v>600</v>
      </c>
      <c r="L103" s="33">
        <v>36</v>
      </c>
      <c r="M103" s="100">
        <f>K103*L103</f>
        <v>21600</v>
      </c>
      <c r="N103" s="30"/>
      <c r="O103" s="25" t="s">
        <v>26</v>
      </c>
    </row>
    <row r="104" spans="1:17" ht="41.25" hidden="1" customHeight="1" x14ac:dyDescent="0.25">
      <c r="A104" s="25" t="s">
        <v>272</v>
      </c>
      <c r="B104" s="33">
        <v>10</v>
      </c>
      <c r="C104" s="72" t="s">
        <v>298</v>
      </c>
      <c r="D104" s="13" t="s">
        <v>305</v>
      </c>
      <c r="E104" s="72" t="s">
        <v>306</v>
      </c>
      <c r="F104" s="72" t="s">
        <v>307</v>
      </c>
      <c r="G104" s="73" t="s">
        <v>307</v>
      </c>
      <c r="H104" s="33" t="s">
        <v>32</v>
      </c>
      <c r="I104" s="33">
        <v>10000</v>
      </c>
      <c r="J104" s="33" t="s">
        <v>32</v>
      </c>
      <c r="K104" s="33">
        <v>10000</v>
      </c>
      <c r="L104" s="33">
        <v>0.88</v>
      </c>
      <c r="M104" s="100">
        <f>K104*L104</f>
        <v>8800</v>
      </c>
      <c r="N104" s="30"/>
      <c r="O104" s="25" t="s">
        <v>26</v>
      </c>
    </row>
    <row r="105" spans="1:17" s="21" customFormat="1" ht="41.25" hidden="1" customHeight="1" x14ac:dyDescent="0.25">
      <c r="A105" s="22" t="s">
        <v>308</v>
      </c>
      <c r="B105" s="43">
        <v>1</v>
      </c>
      <c r="C105" s="102" t="s">
        <v>309</v>
      </c>
      <c r="D105" s="46" t="s">
        <v>310</v>
      </c>
      <c r="E105" s="45"/>
      <c r="F105" s="45" t="s">
        <v>309</v>
      </c>
      <c r="G105" s="46" t="s">
        <v>311</v>
      </c>
      <c r="H105" s="47" t="s">
        <v>32</v>
      </c>
      <c r="I105" s="103">
        <v>4</v>
      </c>
      <c r="J105" s="47" t="s">
        <v>32</v>
      </c>
      <c r="K105" s="103">
        <v>4</v>
      </c>
      <c r="L105" s="104">
        <v>250</v>
      </c>
      <c r="M105" s="105">
        <v>1000</v>
      </c>
      <c r="N105" s="19"/>
      <c r="O105" s="22" t="s">
        <v>250</v>
      </c>
      <c r="P105" s="63"/>
    </row>
    <row r="106" spans="1:17" ht="41.25" hidden="1" customHeight="1" x14ac:dyDescent="0.25">
      <c r="A106" s="25" t="s">
        <v>308</v>
      </c>
      <c r="B106" s="37">
        <v>4</v>
      </c>
      <c r="C106" s="91" t="s">
        <v>312</v>
      </c>
      <c r="D106" s="92" t="s">
        <v>312</v>
      </c>
      <c r="E106" s="91"/>
      <c r="F106" s="91" t="s">
        <v>313</v>
      </c>
      <c r="G106" s="92" t="s">
        <v>313</v>
      </c>
      <c r="H106" s="109" t="s">
        <v>32</v>
      </c>
      <c r="I106" s="109">
        <v>100</v>
      </c>
      <c r="J106" s="109" t="s">
        <v>32</v>
      </c>
      <c r="K106" s="109">
        <v>100</v>
      </c>
      <c r="L106" s="109">
        <v>75</v>
      </c>
      <c r="M106" s="110">
        <v>7500</v>
      </c>
      <c r="N106" s="30"/>
      <c r="O106" s="30" t="s">
        <v>314</v>
      </c>
    </row>
    <row r="107" spans="1:17" ht="41.25" hidden="1" customHeight="1" x14ac:dyDescent="0.25">
      <c r="A107" s="25" t="s">
        <v>308</v>
      </c>
      <c r="B107" s="37">
        <v>6</v>
      </c>
      <c r="C107" s="91" t="s">
        <v>315</v>
      </c>
      <c r="D107" s="95" t="s">
        <v>316</v>
      </c>
      <c r="E107" s="91"/>
      <c r="F107" s="91" t="s">
        <v>317</v>
      </c>
      <c r="G107" s="92" t="s">
        <v>317</v>
      </c>
      <c r="H107" s="92" t="s">
        <v>32</v>
      </c>
      <c r="I107" s="109">
        <v>10</v>
      </c>
      <c r="J107" s="92" t="s">
        <v>32</v>
      </c>
      <c r="K107" s="109">
        <v>10</v>
      </c>
      <c r="L107" s="109">
        <v>120</v>
      </c>
      <c r="M107" s="110">
        <v>1200</v>
      </c>
      <c r="N107" s="30"/>
      <c r="O107" s="25" t="s">
        <v>26</v>
      </c>
    </row>
    <row r="108" spans="1:17" ht="41.25" hidden="1" customHeight="1" x14ac:dyDescent="0.25">
      <c r="A108" s="25" t="s">
        <v>308</v>
      </c>
      <c r="B108" s="37">
        <v>7</v>
      </c>
      <c r="C108" s="75" t="s">
        <v>318</v>
      </c>
      <c r="D108" s="95" t="s">
        <v>319</v>
      </c>
      <c r="E108" s="91"/>
      <c r="F108" s="91"/>
      <c r="G108" s="92" t="s">
        <v>320</v>
      </c>
      <c r="H108" s="92" t="s">
        <v>32</v>
      </c>
      <c r="I108" s="109">
        <v>1</v>
      </c>
      <c r="J108" s="92" t="s">
        <v>32</v>
      </c>
      <c r="K108" s="109">
        <v>1</v>
      </c>
      <c r="L108" s="109">
        <v>312</v>
      </c>
      <c r="M108" s="110">
        <v>312</v>
      </c>
      <c r="N108" s="30"/>
      <c r="O108" s="25" t="s">
        <v>26</v>
      </c>
    </row>
    <row r="109" spans="1:17" s="21" customFormat="1" ht="41.25" hidden="1" customHeight="1" x14ac:dyDescent="0.25">
      <c r="A109" s="22" t="s">
        <v>308</v>
      </c>
      <c r="B109" s="43">
        <v>8</v>
      </c>
      <c r="C109" s="281" t="s">
        <v>321</v>
      </c>
      <c r="D109" s="95" t="s">
        <v>319</v>
      </c>
      <c r="E109" s="282"/>
      <c r="F109" s="282"/>
      <c r="G109" s="92" t="s">
        <v>320</v>
      </c>
      <c r="H109" s="10" t="s">
        <v>32</v>
      </c>
      <c r="I109" s="283">
        <v>1</v>
      </c>
      <c r="J109" s="10" t="s">
        <v>32</v>
      </c>
      <c r="K109" s="283">
        <v>1</v>
      </c>
      <c r="L109" s="283">
        <v>300</v>
      </c>
      <c r="M109" s="284">
        <v>300</v>
      </c>
      <c r="N109" s="19"/>
      <c r="O109" s="22" t="s">
        <v>26</v>
      </c>
    </row>
    <row r="110" spans="1:17" s="21" customFormat="1" ht="41.25" hidden="1" customHeight="1" x14ac:dyDescent="0.25">
      <c r="A110" s="22" t="s">
        <v>308</v>
      </c>
      <c r="B110" s="43">
        <v>9</v>
      </c>
      <c r="C110" s="20" t="s">
        <v>322</v>
      </c>
      <c r="D110" s="10" t="s">
        <v>322</v>
      </c>
      <c r="E110" s="22"/>
      <c r="F110" s="282" t="s">
        <v>323</v>
      </c>
      <c r="G110" s="10" t="s">
        <v>743</v>
      </c>
      <c r="H110" s="172" t="s">
        <v>32</v>
      </c>
      <c r="I110" s="104">
        <v>200</v>
      </c>
      <c r="J110" s="172" t="s">
        <v>32</v>
      </c>
      <c r="K110" s="286">
        <v>10000</v>
      </c>
      <c r="L110" s="104">
        <v>70</v>
      </c>
      <c r="M110" s="285">
        <v>10550</v>
      </c>
      <c r="N110" s="19"/>
      <c r="O110" s="22" t="s">
        <v>26</v>
      </c>
      <c r="P110" s="21">
        <v>10000</v>
      </c>
      <c r="Q110" s="21">
        <v>35</v>
      </c>
    </row>
    <row r="111" spans="1:17" ht="41.25" hidden="1" customHeight="1" x14ac:dyDescent="0.25">
      <c r="A111" s="25" t="s">
        <v>308</v>
      </c>
      <c r="B111" s="37">
        <v>10</v>
      </c>
      <c r="C111" s="111" t="s">
        <v>324</v>
      </c>
      <c r="D111" s="92" t="s">
        <v>324</v>
      </c>
      <c r="E111" s="25"/>
      <c r="F111" s="112" t="s">
        <v>325</v>
      </c>
      <c r="G111" s="95" t="s">
        <v>326</v>
      </c>
      <c r="H111" s="26" t="s">
        <v>32</v>
      </c>
      <c r="I111" s="107">
        <v>150</v>
      </c>
      <c r="J111" s="26" t="s">
        <v>32</v>
      </c>
      <c r="K111" s="107">
        <v>150</v>
      </c>
      <c r="L111" s="107">
        <v>70.099999999999994</v>
      </c>
      <c r="M111" s="108">
        <v>10515</v>
      </c>
      <c r="N111" s="30"/>
      <c r="O111" s="25" t="s">
        <v>26</v>
      </c>
    </row>
    <row r="112" spans="1:17" ht="41.25" hidden="1" customHeight="1" x14ac:dyDescent="0.25">
      <c r="A112" s="25" t="s">
        <v>308</v>
      </c>
      <c r="B112" s="37">
        <v>11</v>
      </c>
      <c r="C112" s="113" t="s">
        <v>327</v>
      </c>
      <c r="D112" s="92" t="s">
        <v>327</v>
      </c>
      <c r="E112" s="114"/>
      <c r="F112" s="115"/>
      <c r="G112" s="116" t="s">
        <v>329</v>
      </c>
      <c r="H112" s="85" t="s">
        <v>32</v>
      </c>
      <c r="I112" s="117">
        <v>15</v>
      </c>
      <c r="J112" s="85" t="s">
        <v>32</v>
      </c>
      <c r="K112" s="117">
        <v>15</v>
      </c>
      <c r="L112" s="117">
        <v>7400</v>
      </c>
      <c r="M112" s="118">
        <v>111000</v>
      </c>
      <c r="N112" s="30"/>
      <c r="O112" s="30" t="s">
        <v>250</v>
      </c>
      <c r="P112" s="115" t="s">
        <v>328</v>
      </c>
    </row>
    <row r="113" spans="1:15" ht="41.25" hidden="1" customHeight="1" x14ac:dyDescent="0.25">
      <c r="A113" s="25" t="s">
        <v>308</v>
      </c>
      <c r="B113" s="37">
        <v>12</v>
      </c>
      <c r="C113" s="113" t="s">
        <v>330</v>
      </c>
      <c r="D113" s="92" t="s">
        <v>330</v>
      </c>
      <c r="E113" s="114"/>
      <c r="F113" s="85" t="s">
        <v>331</v>
      </c>
      <c r="G113" s="116" t="s">
        <v>329</v>
      </c>
      <c r="H113" s="85" t="s">
        <v>32</v>
      </c>
      <c r="I113" s="117">
        <v>5</v>
      </c>
      <c r="J113" s="85" t="s">
        <v>32</v>
      </c>
      <c r="K113" s="117">
        <v>5</v>
      </c>
      <c r="L113" s="117">
        <v>7400</v>
      </c>
      <c r="M113" s="118">
        <v>111000</v>
      </c>
      <c r="N113" s="30"/>
      <c r="O113" s="30" t="s">
        <v>250</v>
      </c>
    </row>
    <row r="114" spans="1:15" ht="41.25" hidden="1" customHeight="1" x14ac:dyDescent="0.25">
      <c r="A114" s="25" t="s">
        <v>308</v>
      </c>
      <c r="B114" s="37">
        <v>13</v>
      </c>
      <c r="C114" s="92" t="s">
        <v>332</v>
      </c>
      <c r="D114" s="92" t="s">
        <v>332</v>
      </c>
      <c r="E114" s="25" t="s">
        <v>333</v>
      </c>
      <c r="F114" s="85" t="s">
        <v>333</v>
      </c>
      <c r="G114" s="86" t="s">
        <v>333</v>
      </c>
      <c r="H114" s="85" t="s">
        <v>20</v>
      </c>
      <c r="I114" s="117">
        <v>50</v>
      </c>
      <c r="J114" s="85" t="s">
        <v>20</v>
      </c>
      <c r="K114" s="117">
        <v>50</v>
      </c>
      <c r="L114" s="117">
        <v>70</v>
      </c>
      <c r="M114" s="118">
        <v>3500</v>
      </c>
      <c r="N114" s="30"/>
      <c r="O114" s="25" t="s">
        <v>334</v>
      </c>
    </row>
    <row r="115" spans="1:15" ht="41.25" hidden="1" customHeight="1" x14ac:dyDescent="0.25">
      <c r="A115" s="25" t="s">
        <v>308</v>
      </c>
      <c r="B115" s="37">
        <v>14</v>
      </c>
      <c r="C115" s="111" t="s">
        <v>335</v>
      </c>
      <c r="D115" s="95" t="s">
        <v>336</v>
      </c>
      <c r="E115" s="114"/>
      <c r="F115" s="85"/>
      <c r="G115" s="116" t="s">
        <v>337</v>
      </c>
      <c r="H115" s="85" t="s">
        <v>20</v>
      </c>
      <c r="I115" s="117">
        <v>2</v>
      </c>
      <c r="J115" s="85" t="s">
        <v>20</v>
      </c>
      <c r="K115" s="117">
        <v>2</v>
      </c>
      <c r="L115" s="117">
        <v>2166</v>
      </c>
      <c r="M115" s="118">
        <v>4332</v>
      </c>
      <c r="N115" s="30"/>
      <c r="O115" s="25" t="s">
        <v>79</v>
      </c>
    </row>
    <row r="116" spans="1:15" s="21" customFormat="1" ht="41.25" hidden="1" customHeight="1" x14ac:dyDescent="0.25">
      <c r="A116" s="22" t="s">
        <v>308</v>
      </c>
      <c r="B116" s="43">
        <v>15</v>
      </c>
      <c r="C116" s="20" t="s">
        <v>338</v>
      </c>
      <c r="D116" s="10" t="s">
        <v>338</v>
      </c>
      <c r="E116" s="22" t="s">
        <v>339</v>
      </c>
      <c r="F116" s="274" t="s">
        <v>340</v>
      </c>
      <c r="G116" s="10" t="s">
        <v>338</v>
      </c>
      <c r="H116" s="275" t="s">
        <v>32</v>
      </c>
      <c r="I116" s="276">
        <v>2</v>
      </c>
      <c r="J116" s="275" t="s">
        <v>32</v>
      </c>
      <c r="K116" s="276">
        <v>2</v>
      </c>
      <c r="L116" s="276">
        <v>9180</v>
      </c>
      <c r="M116" s="277">
        <v>18360</v>
      </c>
      <c r="N116" s="19"/>
      <c r="O116" s="22" t="s">
        <v>250</v>
      </c>
    </row>
    <row r="117" spans="1:15" s="21" customFormat="1" ht="41.25" hidden="1" customHeight="1" x14ac:dyDescent="0.25">
      <c r="A117" s="22" t="s">
        <v>308</v>
      </c>
      <c r="B117" s="278">
        <v>1</v>
      </c>
      <c r="C117" s="278" t="s">
        <v>341</v>
      </c>
      <c r="D117" s="63" t="s">
        <v>341</v>
      </c>
      <c r="E117" s="278"/>
      <c r="F117" s="278" t="s">
        <v>342</v>
      </c>
      <c r="G117" s="63" t="s">
        <v>342</v>
      </c>
      <c r="H117" s="279" t="s">
        <v>343</v>
      </c>
      <c r="I117" s="47">
        <v>150</v>
      </c>
      <c r="J117" s="279" t="s">
        <v>343</v>
      </c>
      <c r="K117" s="47">
        <v>150</v>
      </c>
      <c r="L117" s="280">
        <v>21</v>
      </c>
      <c r="M117" s="49">
        <v>3150</v>
      </c>
      <c r="N117" s="19"/>
      <c r="O117" s="22" t="s">
        <v>334</v>
      </c>
    </row>
    <row r="118" spans="1:15" s="21" customFormat="1" ht="41.25" hidden="1" customHeight="1" x14ac:dyDescent="0.25">
      <c r="A118" s="22" t="s">
        <v>308</v>
      </c>
      <c r="B118" s="278">
        <v>2</v>
      </c>
      <c r="C118" s="278" t="s">
        <v>344</v>
      </c>
      <c r="D118" s="63" t="s">
        <v>344</v>
      </c>
      <c r="E118" s="278"/>
      <c r="F118" s="278" t="s">
        <v>345</v>
      </c>
      <c r="G118" s="63" t="s">
        <v>345</v>
      </c>
      <c r="H118" s="279" t="s">
        <v>20</v>
      </c>
      <c r="I118" s="47">
        <v>1000</v>
      </c>
      <c r="J118" s="279" t="s">
        <v>20</v>
      </c>
      <c r="K118" s="47">
        <v>1000</v>
      </c>
      <c r="L118" s="280">
        <v>22</v>
      </c>
      <c r="M118" s="49">
        <v>22000</v>
      </c>
      <c r="N118" s="19"/>
      <c r="O118" s="22" t="s">
        <v>250</v>
      </c>
    </row>
    <row r="119" spans="1:15" ht="41.25" hidden="1" customHeight="1" x14ac:dyDescent="0.25">
      <c r="A119" s="25" t="s">
        <v>308</v>
      </c>
      <c r="B119" s="37">
        <v>3</v>
      </c>
      <c r="C119" s="36" t="s">
        <v>346</v>
      </c>
      <c r="D119" s="39" t="s">
        <v>347</v>
      </c>
      <c r="E119" s="36"/>
      <c r="F119" s="36" t="s">
        <v>348</v>
      </c>
      <c r="G119" s="46" t="s">
        <v>349</v>
      </c>
      <c r="H119" s="41" t="s">
        <v>20</v>
      </c>
      <c r="I119" s="41">
        <v>50</v>
      </c>
      <c r="J119" s="41" t="s">
        <v>20</v>
      </c>
      <c r="K119" s="41">
        <v>50</v>
      </c>
      <c r="L119" s="42">
        <v>2</v>
      </c>
      <c r="M119" s="42">
        <v>100</v>
      </c>
      <c r="N119" s="30"/>
      <c r="O119" s="25" t="s">
        <v>334</v>
      </c>
    </row>
    <row r="120" spans="1:15" ht="41.25" hidden="1" customHeight="1" x14ac:dyDescent="0.25">
      <c r="A120" s="25" t="s">
        <v>308</v>
      </c>
      <c r="B120" s="26">
        <v>4</v>
      </c>
      <c r="C120" s="36" t="s">
        <v>350</v>
      </c>
      <c r="D120" s="46" t="s">
        <v>351</v>
      </c>
      <c r="F120" s="36" t="s">
        <v>352</v>
      </c>
      <c r="G120" s="46" t="s">
        <v>353</v>
      </c>
      <c r="H120" s="41" t="s">
        <v>354</v>
      </c>
      <c r="I120" s="41">
        <v>10</v>
      </c>
      <c r="J120" s="41" t="s">
        <v>354</v>
      </c>
      <c r="K120" s="41">
        <v>10</v>
      </c>
      <c r="L120" s="42">
        <v>32.119999999999997</v>
      </c>
      <c r="M120" s="42">
        <v>321.2</v>
      </c>
      <c r="N120" s="30"/>
      <c r="O120" s="25" t="s">
        <v>334</v>
      </c>
    </row>
    <row r="121" spans="1:15" ht="41.25" hidden="1" customHeight="1" x14ac:dyDescent="0.25">
      <c r="A121" s="25" t="s">
        <v>308</v>
      </c>
      <c r="B121" s="26">
        <v>5</v>
      </c>
      <c r="C121" s="36" t="s">
        <v>355</v>
      </c>
      <c r="D121" s="39" t="s">
        <v>355</v>
      </c>
      <c r="E121" s="36"/>
      <c r="F121" s="36"/>
      <c r="G121" s="46" t="s">
        <v>355</v>
      </c>
      <c r="H121" s="41" t="s">
        <v>356</v>
      </c>
      <c r="I121" s="41">
        <v>3500</v>
      </c>
      <c r="J121" s="41" t="s">
        <v>356</v>
      </c>
      <c r="K121" s="41">
        <v>3500</v>
      </c>
      <c r="L121" s="34">
        <v>1.5</v>
      </c>
      <c r="M121" s="42">
        <v>5250</v>
      </c>
      <c r="N121" s="30"/>
      <c r="O121" s="25" t="s">
        <v>334</v>
      </c>
    </row>
    <row r="122" spans="1:15" ht="41.25" hidden="1" customHeight="1" x14ac:dyDescent="0.25">
      <c r="A122" s="25" t="s">
        <v>308</v>
      </c>
      <c r="B122" s="26">
        <v>8</v>
      </c>
      <c r="C122" s="36" t="s">
        <v>357</v>
      </c>
      <c r="D122" s="39" t="s">
        <v>357</v>
      </c>
      <c r="E122" s="36"/>
      <c r="F122" s="36" t="s">
        <v>358</v>
      </c>
      <c r="G122" s="39" t="s">
        <v>358</v>
      </c>
      <c r="H122" s="41" t="s">
        <v>219</v>
      </c>
      <c r="I122" s="41">
        <v>100</v>
      </c>
      <c r="J122" s="41" t="s">
        <v>219</v>
      </c>
      <c r="K122" s="41">
        <v>100</v>
      </c>
      <c r="L122" s="42">
        <v>12</v>
      </c>
      <c r="M122" s="42">
        <v>1200</v>
      </c>
      <c r="N122" s="30"/>
      <c r="O122" s="25" t="s">
        <v>359</v>
      </c>
    </row>
    <row r="123" spans="1:15" ht="41.25" hidden="1" customHeight="1" x14ac:dyDescent="0.25">
      <c r="A123" s="25" t="s">
        <v>360</v>
      </c>
      <c r="B123" s="119">
        <v>1</v>
      </c>
      <c r="C123" s="120" t="s">
        <v>361</v>
      </c>
      <c r="D123" s="51" t="s">
        <v>361</v>
      </c>
      <c r="E123" s="30"/>
      <c r="F123" s="120" t="s">
        <v>362</v>
      </c>
      <c r="G123" s="51" t="s">
        <v>362</v>
      </c>
      <c r="H123" s="51" t="s">
        <v>20</v>
      </c>
      <c r="I123" s="51">
        <v>30</v>
      </c>
      <c r="J123" s="51" t="s">
        <v>20</v>
      </c>
      <c r="K123" s="51">
        <v>30</v>
      </c>
      <c r="L123" s="51">
        <v>4080</v>
      </c>
      <c r="M123" s="121">
        <v>122400</v>
      </c>
      <c r="N123" s="122" t="s">
        <v>363</v>
      </c>
      <c r="O123" s="25" t="s">
        <v>334</v>
      </c>
    </row>
    <row r="124" spans="1:15" ht="41.25" hidden="1" customHeight="1" x14ac:dyDescent="0.25">
      <c r="A124" s="25" t="s">
        <v>360</v>
      </c>
      <c r="B124" s="119">
        <v>2</v>
      </c>
      <c r="C124" s="120" t="s">
        <v>364</v>
      </c>
      <c r="D124" s="51" t="s">
        <v>364</v>
      </c>
      <c r="E124" s="30"/>
      <c r="F124" s="123" t="s">
        <v>365</v>
      </c>
      <c r="G124" s="124" t="s">
        <v>366</v>
      </c>
      <c r="H124" s="51" t="s">
        <v>367</v>
      </c>
      <c r="I124" s="51">
        <v>950</v>
      </c>
      <c r="J124" s="51" t="s">
        <v>367</v>
      </c>
      <c r="K124" s="51">
        <v>950</v>
      </c>
      <c r="L124" s="51">
        <v>750</v>
      </c>
      <c r="M124" s="121">
        <v>712500</v>
      </c>
      <c r="N124" s="122" t="s">
        <v>363</v>
      </c>
      <c r="O124" s="25" t="s">
        <v>334</v>
      </c>
    </row>
    <row r="125" spans="1:15" ht="41.25" hidden="1" customHeight="1" x14ac:dyDescent="0.25">
      <c r="A125" s="25" t="s">
        <v>360</v>
      </c>
      <c r="B125" s="119">
        <v>3</v>
      </c>
      <c r="C125" s="120" t="s">
        <v>368</v>
      </c>
      <c r="D125" s="51" t="s">
        <v>368</v>
      </c>
      <c r="E125" s="30"/>
      <c r="F125" s="125" t="s">
        <v>369</v>
      </c>
      <c r="G125" s="53" t="s">
        <v>370</v>
      </c>
      <c r="H125" s="51" t="s">
        <v>367</v>
      </c>
      <c r="I125" s="51">
        <v>1000</v>
      </c>
      <c r="J125" s="51" t="s">
        <v>367</v>
      </c>
      <c r="K125" s="51">
        <v>1000</v>
      </c>
      <c r="L125" s="51">
        <v>690</v>
      </c>
      <c r="M125" s="121">
        <v>690000</v>
      </c>
      <c r="N125" s="122" t="s">
        <v>363</v>
      </c>
      <c r="O125" s="25" t="s">
        <v>334</v>
      </c>
    </row>
    <row r="126" spans="1:15" ht="41.25" hidden="1" customHeight="1" x14ac:dyDescent="0.25">
      <c r="A126" s="25" t="s">
        <v>360</v>
      </c>
      <c r="B126" s="119">
        <v>4</v>
      </c>
      <c r="C126" s="120" t="s">
        <v>371</v>
      </c>
      <c r="D126" s="51" t="s">
        <v>371</v>
      </c>
      <c r="E126" s="30"/>
      <c r="F126" s="125" t="s">
        <v>372</v>
      </c>
      <c r="G126" s="53" t="s">
        <v>373</v>
      </c>
      <c r="H126" s="51" t="s">
        <v>367</v>
      </c>
      <c r="I126" s="51">
        <v>150</v>
      </c>
      <c r="J126" s="51" t="s">
        <v>367</v>
      </c>
      <c r="K126" s="51">
        <v>150</v>
      </c>
      <c r="L126" s="51">
        <v>690</v>
      </c>
      <c r="M126" s="121">
        <v>103500</v>
      </c>
      <c r="N126" s="122" t="s">
        <v>363</v>
      </c>
      <c r="O126" s="25" t="s">
        <v>334</v>
      </c>
    </row>
    <row r="127" spans="1:15" ht="41.25" hidden="1" customHeight="1" x14ac:dyDescent="0.25">
      <c r="A127" s="25" t="s">
        <v>360</v>
      </c>
      <c r="B127" s="119">
        <v>5</v>
      </c>
      <c r="C127" s="120" t="s">
        <v>374</v>
      </c>
      <c r="D127" s="51" t="s">
        <v>374</v>
      </c>
      <c r="E127" s="30"/>
      <c r="F127" s="125" t="s">
        <v>375</v>
      </c>
      <c r="G127" s="53" t="s">
        <v>376</v>
      </c>
      <c r="H127" s="51" t="s">
        <v>367</v>
      </c>
      <c r="I127" s="51">
        <v>20</v>
      </c>
      <c r="J127" s="51" t="s">
        <v>367</v>
      </c>
      <c r="K127" s="51">
        <v>20</v>
      </c>
      <c r="L127" s="51">
        <v>690</v>
      </c>
      <c r="M127" s="121">
        <v>13800</v>
      </c>
      <c r="N127" s="122" t="s">
        <v>363</v>
      </c>
      <c r="O127" s="25" t="s">
        <v>334</v>
      </c>
    </row>
    <row r="128" spans="1:15" ht="41.25" hidden="1" customHeight="1" x14ac:dyDescent="0.25">
      <c r="A128" s="25" t="s">
        <v>360</v>
      </c>
      <c r="B128" s="119">
        <v>6</v>
      </c>
      <c r="C128" s="120" t="s">
        <v>377</v>
      </c>
      <c r="D128" s="53" t="s">
        <v>378</v>
      </c>
      <c r="E128" s="30"/>
      <c r="F128" s="125" t="s">
        <v>379</v>
      </c>
      <c r="G128" s="51" t="s">
        <v>379</v>
      </c>
      <c r="H128" s="51" t="s">
        <v>367</v>
      </c>
      <c r="I128" s="51">
        <v>10</v>
      </c>
      <c r="J128" s="51" t="s">
        <v>367</v>
      </c>
      <c r="K128" s="51">
        <v>10</v>
      </c>
      <c r="L128" s="51">
        <v>1300</v>
      </c>
      <c r="M128" s="121">
        <v>13000</v>
      </c>
      <c r="N128" s="122" t="s">
        <v>363</v>
      </c>
      <c r="O128" s="25" t="s">
        <v>334</v>
      </c>
    </row>
    <row r="129" spans="1:15" ht="41.25" hidden="1" customHeight="1" x14ac:dyDescent="0.25">
      <c r="A129" s="25" t="s">
        <v>360</v>
      </c>
      <c r="B129" s="119">
        <v>7</v>
      </c>
      <c r="C129" s="120" t="s">
        <v>377</v>
      </c>
      <c r="D129" s="53" t="s">
        <v>380</v>
      </c>
      <c r="E129" s="30"/>
      <c r="F129" s="125" t="s">
        <v>381</v>
      </c>
      <c r="G129" s="51" t="s">
        <v>381</v>
      </c>
      <c r="H129" s="51" t="s">
        <v>367</v>
      </c>
      <c r="I129" s="51">
        <v>10</v>
      </c>
      <c r="J129" s="51" t="s">
        <v>367</v>
      </c>
      <c r="K129" s="51">
        <v>10</v>
      </c>
      <c r="L129" s="51">
        <v>1300</v>
      </c>
      <c r="M129" s="121">
        <v>13000</v>
      </c>
      <c r="N129" s="122" t="s">
        <v>363</v>
      </c>
      <c r="O129" s="25" t="s">
        <v>334</v>
      </c>
    </row>
    <row r="130" spans="1:15" ht="41.25" hidden="1" customHeight="1" x14ac:dyDescent="0.25">
      <c r="A130" s="25" t="s">
        <v>360</v>
      </c>
      <c r="B130" s="119">
        <v>8</v>
      </c>
      <c r="C130" s="120" t="s">
        <v>377</v>
      </c>
      <c r="D130" s="53" t="s">
        <v>382</v>
      </c>
      <c r="E130" s="30"/>
      <c r="F130" s="125" t="s">
        <v>383</v>
      </c>
      <c r="G130" s="51" t="s">
        <v>383</v>
      </c>
      <c r="H130" s="51" t="s">
        <v>367</v>
      </c>
      <c r="I130" s="51">
        <v>10</v>
      </c>
      <c r="J130" s="51" t="s">
        <v>367</v>
      </c>
      <c r="K130" s="51">
        <v>10</v>
      </c>
      <c r="L130" s="51">
        <v>1300</v>
      </c>
      <c r="M130" s="121">
        <v>13000</v>
      </c>
      <c r="N130" s="122" t="s">
        <v>363</v>
      </c>
      <c r="O130" s="25" t="s">
        <v>334</v>
      </c>
    </row>
    <row r="131" spans="1:15" ht="41.25" hidden="1" customHeight="1" x14ac:dyDescent="0.25">
      <c r="A131" s="25" t="s">
        <v>360</v>
      </c>
      <c r="B131" s="119">
        <v>9</v>
      </c>
      <c r="C131" s="120" t="s">
        <v>384</v>
      </c>
      <c r="D131" s="53" t="s">
        <v>385</v>
      </c>
      <c r="E131" s="30"/>
      <c r="F131" s="125" t="s">
        <v>386</v>
      </c>
      <c r="G131" s="53" t="s">
        <v>387</v>
      </c>
      <c r="H131" s="51" t="s">
        <v>20</v>
      </c>
      <c r="I131" s="51">
        <v>1500</v>
      </c>
      <c r="J131" s="51" t="s">
        <v>20</v>
      </c>
      <c r="K131" s="51">
        <v>1500</v>
      </c>
      <c r="L131" s="51">
        <v>38</v>
      </c>
      <c r="M131" s="121">
        <v>57000</v>
      </c>
      <c r="N131" s="122" t="s">
        <v>363</v>
      </c>
      <c r="O131" s="25" t="s">
        <v>334</v>
      </c>
    </row>
    <row r="132" spans="1:15" ht="41.25" hidden="1" customHeight="1" x14ac:dyDescent="0.25">
      <c r="A132" s="25" t="s">
        <v>360</v>
      </c>
      <c r="B132" s="119">
        <v>10</v>
      </c>
      <c r="C132" s="120" t="s">
        <v>388</v>
      </c>
      <c r="D132" s="51" t="s">
        <v>388</v>
      </c>
      <c r="E132" s="30"/>
      <c r="F132" s="125" t="s">
        <v>389</v>
      </c>
      <c r="G132" s="53" t="s">
        <v>390</v>
      </c>
      <c r="H132" s="51" t="s">
        <v>20</v>
      </c>
      <c r="I132" s="51">
        <v>1000</v>
      </c>
      <c r="J132" s="51" t="s">
        <v>20</v>
      </c>
      <c r="K132" s="51">
        <v>1000</v>
      </c>
      <c r="L132" s="51">
        <v>57</v>
      </c>
      <c r="M132" s="121">
        <v>57000</v>
      </c>
      <c r="N132" s="122" t="s">
        <v>363</v>
      </c>
      <c r="O132" s="25" t="s">
        <v>334</v>
      </c>
    </row>
    <row r="133" spans="1:15" ht="41.25" hidden="1" customHeight="1" x14ac:dyDescent="0.25">
      <c r="A133" s="25" t="s">
        <v>360</v>
      </c>
      <c r="B133" s="119">
        <v>11</v>
      </c>
      <c r="C133" s="120" t="s">
        <v>391</v>
      </c>
      <c r="D133" s="53" t="s">
        <v>392</v>
      </c>
      <c r="E133" s="30"/>
      <c r="F133" s="125" t="s">
        <v>393</v>
      </c>
      <c r="G133" s="53" t="s">
        <v>394</v>
      </c>
      <c r="H133" s="51" t="s">
        <v>20</v>
      </c>
      <c r="I133" s="51">
        <v>125</v>
      </c>
      <c r="J133" s="51" t="s">
        <v>20</v>
      </c>
      <c r="K133" s="51">
        <v>125</v>
      </c>
      <c r="L133" s="51">
        <v>80</v>
      </c>
      <c r="M133" s="121">
        <v>10000</v>
      </c>
      <c r="N133" s="122" t="s">
        <v>363</v>
      </c>
      <c r="O133" s="25" t="s">
        <v>250</v>
      </c>
    </row>
    <row r="134" spans="1:15" ht="41.25" hidden="1" customHeight="1" x14ac:dyDescent="0.25">
      <c r="A134" s="25" t="s">
        <v>360</v>
      </c>
      <c r="B134" s="119">
        <v>12</v>
      </c>
      <c r="C134" s="120" t="s">
        <v>391</v>
      </c>
      <c r="D134" s="53" t="s">
        <v>395</v>
      </c>
      <c r="E134" s="30"/>
      <c r="F134" s="125" t="s">
        <v>396</v>
      </c>
      <c r="G134" s="53" t="s">
        <v>397</v>
      </c>
      <c r="H134" s="51" t="s">
        <v>20</v>
      </c>
      <c r="I134" s="51">
        <v>140</v>
      </c>
      <c r="J134" s="51" t="s">
        <v>20</v>
      </c>
      <c r="K134" s="51">
        <v>140</v>
      </c>
      <c r="L134" s="51">
        <v>80</v>
      </c>
      <c r="M134" s="121">
        <v>11200</v>
      </c>
      <c r="N134" s="122" t="s">
        <v>363</v>
      </c>
      <c r="O134" s="25" t="s">
        <v>250</v>
      </c>
    </row>
    <row r="135" spans="1:15" ht="41.25" hidden="1" customHeight="1" x14ac:dyDescent="0.25">
      <c r="A135" s="25" t="s">
        <v>360</v>
      </c>
      <c r="B135" s="119">
        <v>13</v>
      </c>
      <c r="C135" s="120" t="s">
        <v>391</v>
      </c>
      <c r="D135" s="53" t="s">
        <v>398</v>
      </c>
      <c r="E135" s="30"/>
      <c r="F135" s="125" t="s">
        <v>399</v>
      </c>
      <c r="G135" s="53" t="s">
        <v>400</v>
      </c>
      <c r="H135" s="51" t="s">
        <v>20</v>
      </c>
      <c r="I135" s="51">
        <v>125</v>
      </c>
      <c r="J135" s="51" t="s">
        <v>20</v>
      </c>
      <c r="K135" s="51">
        <v>125</v>
      </c>
      <c r="L135" s="51">
        <v>80</v>
      </c>
      <c r="M135" s="121">
        <v>10000</v>
      </c>
      <c r="N135" s="122" t="s">
        <v>363</v>
      </c>
      <c r="O135" s="25" t="s">
        <v>250</v>
      </c>
    </row>
    <row r="136" spans="1:15" ht="41.25" hidden="1" customHeight="1" x14ac:dyDescent="0.25">
      <c r="A136" s="25" t="s">
        <v>360</v>
      </c>
      <c r="B136" s="119">
        <v>14</v>
      </c>
      <c r="C136" s="120" t="s">
        <v>391</v>
      </c>
      <c r="D136" s="53" t="s">
        <v>401</v>
      </c>
      <c r="E136" s="30"/>
      <c r="F136" s="125" t="s">
        <v>402</v>
      </c>
      <c r="G136" s="53" t="s">
        <v>403</v>
      </c>
      <c r="H136" s="51" t="s">
        <v>20</v>
      </c>
      <c r="I136" s="51">
        <v>90</v>
      </c>
      <c r="J136" s="51" t="s">
        <v>20</v>
      </c>
      <c r="K136" s="51">
        <v>90</v>
      </c>
      <c r="L136" s="51">
        <v>80</v>
      </c>
      <c r="M136" s="121">
        <v>7200</v>
      </c>
      <c r="N136" s="122" t="s">
        <v>363</v>
      </c>
      <c r="O136" s="25" t="s">
        <v>250</v>
      </c>
    </row>
    <row r="137" spans="1:15" ht="41.25" hidden="1" customHeight="1" x14ac:dyDescent="0.25">
      <c r="A137" s="25" t="s">
        <v>360</v>
      </c>
      <c r="B137" s="119">
        <v>15</v>
      </c>
      <c r="C137" s="120" t="s">
        <v>391</v>
      </c>
      <c r="D137" s="53" t="s">
        <v>404</v>
      </c>
      <c r="E137" s="30"/>
      <c r="F137" s="125" t="s">
        <v>405</v>
      </c>
      <c r="G137" s="53" t="s">
        <v>406</v>
      </c>
      <c r="H137" s="51" t="s">
        <v>20</v>
      </c>
      <c r="I137" s="51">
        <v>25</v>
      </c>
      <c r="J137" s="51" t="s">
        <v>20</v>
      </c>
      <c r="K137" s="51">
        <v>25</v>
      </c>
      <c r="L137" s="51">
        <v>90</v>
      </c>
      <c r="M137" s="121">
        <v>2250</v>
      </c>
      <c r="N137" s="122" t="s">
        <v>363</v>
      </c>
      <c r="O137" s="25" t="s">
        <v>250</v>
      </c>
    </row>
    <row r="138" spans="1:15" ht="41.25" hidden="1" customHeight="1" x14ac:dyDescent="0.25">
      <c r="A138" s="25" t="s">
        <v>360</v>
      </c>
      <c r="B138" s="119">
        <v>16</v>
      </c>
      <c r="C138" s="120" t="s">
        <v>391</v>
      </c>
      <c r="D138" s="53" t="s">
        <v>407</v>
      </c>
      <c r="E138" s="30"/>
      <c r="F138" s="125" t="s">
        <v>408</v>
      </c>
      <c r="G138" s="53" t="s">
        <v>409</v>
      </c>
      <c r="H138" s="51" t="s">
        <v>20</v>
      </c>
      <c r="I138" s="51">
        <v>26</v>
      </c>
      <c r="J138" s="51" t="s">
        <v>20</v>
      </c>
      <c r="K138" s="51">
        <v>26</v>
      </c>
      <c r="L138" s="51">
        <v>100</v>
      </c>
      <c r="M138" s="121">
        <v>2600</v>
      </c>
      <c r="N138" s="122" t="s">
        <v>363</v>
      </c>
      <c r="O138" s="25" t="s">
        <v>250</v>
      </c>
    </row>
    <row r="139" spans="1:15" ht="41.25" hidden="1" customHeight="1" x14ac:dyDescent="0.25">
      <c r="A139" s="25" t="s">
        <v>360</v>
      </c>
      <c r="B139" s="119">
        <v>17</v>
      </c>
      <c r="C139" s="120" t="s">
        <v>391</v>
      </c>
      <c r="D139" s="53" t="s">
        <v>410</v>
      </c>
      <c r="E139" s="30"/>
      <c r="F139" s="125" t="s">
        <v>411</v>
      </c>
      <c r="G139" s="53" t="s">
        <v>412</v>
      </c>
      <c r="H139" s="51" t="s">
        <v>20</v>
      </c>
      <c r="I139" s="51">
        <v>21</v>
      </c>
      <c r="J139" s="51" t="s">
        <v>20</v>
      </c>
      <c r="K139" s="51">
        <v>21</v>
      </c>
      <c r="L139" s="51">
        <v>100</v>
      </c>
      <c r="M139" s="121">
        <v>2100</v>
      </c>
      <c r="N139" s="122" t="s">
        <v>363</v>
      </c>
      <c r="O139" s="25" t="s">
        <v>250</v>
      </c>
    </row>
    <row r="140" spans="1:15" ht="41.25" hidden="1" customHeight="1" x14ac:dyDescent="0.25">
      <c r="A140" s="25" t="s">
        <v>360</v>
      </c>
      <c r="B140" s="119">
        <v>18</v>
      </c>
      <c r="C140" s="120" t="s">
        <v>391</v>
      </c>
      <c r="D140" s="53" t="s">
        <v>413</v>
      </c>
      <c r="E140" s="30"/>
      <c r="F140" s="125" t="s">
        <v>414</v>
      </c>
      <c r="G140" s="53" t="s">
        <v>415</v>
      </c>
      <c r="H140" s="51" t="s">
        <v>20</v>
      </c>
      <c r="I140" s="51">
        <v>12</v>
      </c>
      <c r="J140" s="51" t="s">
        <v>20</v>
      </c>
      <c r="K140" s="51">
        <v>12</v>
      </c>
      <c r="L140" s="51">
        <v>100</v>
      </c>
      <c r="M140" s="121">
        <v>1200</v>
      </c>
      <c r="N140" s="122" t="s">
        <v>363</v>
      </c>
      <c r="O140" s="25" t="s">
        <v>250</v>
      </c>
    </row>
    <row r="141" spans="1:15" ht="41.25" hidden="1" customHeight="1" x14ac:dyDescent="0.25">
      <c r="A141" s="25" t="s">
        <v>360</v>
      </c>
      <c r="B141" s="119">
        <v>19</v>
      </c>
      <c r="C141" s="126" t="s">
        <v>416</v>
      </c>
      <c r="D141" s="127" t="s">
        <v>417</v>
      </c>
      <c r="E141" s="30"/>
      <c r="F141" s="125" t="s">
        <v>418</v>
      </c>
      <c r="G141" s="51" t="s">
        <v>418</v>
      </c>
      <c r="H141" s="51" t="s">
        <v>20</v>
      </c>
      <c r="I141" s="51">
        <v>50</v>
      </c>
      <c r="J141" s="51" t="s">
        <v>20</v>
      </c>
      <c r="K141" s="51">
        <v>50</v>
      </c>
      <c r="L141" s="51">
        <v>200</v>
      </c>
      <c r="M141" s="121">
        <v>10000</v>
      </c>
      <c r="N141" s="122" t="s">
        <v>363</v>
      </c>
      <c r="O141" s="25" t="s">
        <v>334</v>
      </c>
    </row>
    <row r="142" spans="1:15" ht="41.25" hidden="1" customHeight="1" x14ac:dyDescent="0.25">
      <c r="A142" s="25" t="s">
        <v>360</v>
      </c>
      <c r="B142" s="119">
        <v>20</v>
      </c>
      <c r="C142" s="126" t="s">
        <v>419</v>
      </c>
      <c r="D142" s="127" t="s">
        <v>420</v>
      </c>
      <c r="E142" s="30"/>
      <c r="F142" s="120" t="s">
        <v>421</v>
      </c>
      <c r="G142" s="53" t="s">
        <v>422</v>
      </c>
      <c r="H142" s="51" t="s">
        <v>20</v>
      </c>
      <c r="I142" s="51">
        <v>130</v>
      </c>
      <c r="J142" s="51" t="s">
        <v>20</v>
      </c>
      <c r="K142" s="51">
        <v>130</v>
      </c>
      <c r="L142" s="51">
        <v>120</v>
      </c>
      <c r="M142" s="121">
        <v>15600</v>
      </c>
      <c r="N142" s="122" t="s">
        <v>363</v>
      </c>
      <c r="O142" s="25" t="s">
        <v>334</v>
      </c>
    </row>
    <row r="143" spans="1:15" ht="41.25" hidden="1" customHeight="1" x14ac:dyDescent="0.25">
      <c r="A143" s="25" t="s">
        <v>360</v>
      </c>
      <c r="B143" s="119">
        <v>21</v>
      </c>
      <c r="C143" s="126" t="s">
        <v>423</v>
      </c>
      <c r="D143" s="127" t="s">
        <v>424</v>
      </c>
      <c r="E143" s="30"/>
      <c r="F143" s="120" t="s">
        <v>425</v>
      </c>
      <c r="G143" s="51" t="s">
        <v>425</v>
      </c>
      <c r="H143" s="51" t="s">
        <v>20</v>
      </c>
      <c r="I143" s="51">
        <v>30</v>
      </c>
      <c r="J143" s="51" t="s">
        <v>20</v>
      </c>
      <c r="K143" s="51">
        <v>30</v>
      </c>
      <c r="L143" s="51">
        <v>980</v>
      </c>
      <c r="M143" s="121">
        <v>29400</v>
      </c>
      <c r="N143" s="122" t="s">
        <v>363</v>
      </c>
      <c r="O143" s="25" t="s">
        <v>334</v>
      </c>
    </row>
    <row r="144" spans="1:15" ht="41.25" hidden="1" customHeight="1" x14ac:dyDescent="0.25">
      <c r="A144" s="25" t="s">
        <v>360</v>
      </c>
      <c r="B144" s="119">
        <v>22</v>
      </c>
      <c r="C144" s="126" t="s">
        <v>426</v>
      </c>
      <c r="D144" s="127" t="s">
        <v>427</v>
      </c>
      <c r="E144" s="30"/>
      <c r="F144" s="120" t="s">
        <v>428</v>
      </c>
      <c r="G144" s="51" t="s">
        <v>428</v>
      </c>
      <c r="H144" s="51" t="s">
        <v>20</v>
      </c>
      <c r="I144" s="51">
        <v>20</v>
      </c>
      <c r="J144" s="51" t="s">
        <v>20</v>
      </c>
      <c r="K144" s="51">
        <v>20</v>
      </c>
      <c r="L144" s="51">
        <v>980</v>
      </c>
      <c r="M144" s="121">
        <v>19600</v>
      </c>
      <c r="N144" s="122" t="s">
        <v>363</v>
      </c>
      <c r="O144" s="25" t="s">
        <v>429</v>
      </c>
    </row>
    <row r="145" spans="1:15" ht="41.25" hidden="1" customHeight="1" x14ac:dyDescent="0.25">
      <c r="A145" s="25" t="s">
        <v>360</v>
      </c>
      <c r="B145" s="119">
        <v>23</v>
      </c>
      <c r="C145" s="126" t="s">
        <v>426</v>
      </c>
      <c r="D145" s="127" t="s">
        <v>430</v>
      </c>
      <c r="E145" s="30"/>
      <c r="F145" s="120" t="s">
        <v>431</v>
      </c>
      <c r="G145" s="51" t="s">
        <v>431</v>
      </c>
      <c r="H145" s="51" t="s">
        <v>20</v>
      </c>
      <c r="I145" s="51">
        <v>10</v>
      </c>
      <c r="J145" s="51" t="s">
        <v>20</v>
      </c>
      <c r="K145" s="51">
        <v>10</v>
      </c>
      <c r="L145" s="51">
        <v>980</v>
      </c>
      <c r="M145" s="121">
        <v>9800</v>
      </c>
      <c r="N145" s="122" t="s">
        <v>363</v>
      </c>
      <c r="O145" s="25" t="s">
        <v>429</v>
      </c>
    </row>
    <row r="146" spans="1:15" ht="41.25" hidden="1" customHeight="1" x14ac:dyDescent="0.25">
      <c r="A146" s="25" t="s">
        <v>360</v>
      </c>
      <c r="B146" s="119">
        <v>24</v>
      </c>
      <c r="C146" s="126" t="s">
        <v>432</v>
      </c>
      <c r="D146" s="127" t="s">
        <v>433</v>
      </c>
      <c r="E146" s="30"/>
      <c r="F146" s="120" t="s">
        <v>434</v>
      </c>
      <c r="G146" s="51" t="s">
        <v>434</v>
      </c>
      <c r="H146" s="51" t="s">
        <v>20</v>
      </c>
      <c r="I146" s="51">
        <v>4</v>
      </c>
      <c r="J146" s="51" t="s">
        <v>20</v>
      </c>
      <c r="K146" s="51">
        <v>4</v>
      </c>
      <c r="L146" s="128">
        <v>100</v>
      </c>
      <c r="M146" s="121">
        <v>400</v>
      </c>
      <c r="N146" s="122" t="s">
        <v>363</v>
      </c>
      <c r="O146" s="25" t="s">
        <v>334</v>
      </c>
    </row>
    <row r="147" spans="1:15" ht="41.25" hidden="1" customHeight="1" x14ac:dyDescent="0.25">
      <c r="A147" s="25" t="s">
        <v>360</v>
      </c>
      <c r="B147" s="119">
        <v>25</v>
      </c>
      <c r="C147" s="126" t="s">
        <v>432</v>
      </c>
      <c r="D147" s="127" t="s">
        <v>435</v>
      </c>
      <c r="E147" s="30"/>
      <c r="F147" s="120" t="s">
        <v>436</v>
      </c>
      <c r="G147" s="51" t="s">
        <v>436</v>
      </c>
      <c r="H147" s="51" t="s">
        <v>20</v>
      </c>
      <c r="I147" s="51">
        <v>30</v>
      </c>
      <c r="J147" s="51" t="s">
        <v>20</v>
      </c>
      <c r="K147" s="51">
        <v>30</v>
      </c>
      <c r="L147" s="128">
        <v>30</v>
      </c>
      <c r="M147" s="121">
        <v>900</v>
      </c>
      <c r="N147" s="122" t="s">
        <v>363</v>
      </c>
      <c r="O147" s="25" t="s">
        <v>334</v>
      </c>
    </row>
    <row r="148" spans="1:15" ht="41.25" hidden="1" customHeight="1" x14ac:dyDescent="0.25">
      <c r="A148" s="25" t="s">
        <v>360</v>
      </c>
      <c r="B148" s="119">
        <v>26</v>
      </c>
      <c r="C148" s="129" t="s">
        <v>437</v>
      </c>
      <c r="D148" s="51" t="s">
        <v>438</v>
      </c>
      <c r="E148" s="30"/>
      <c r="F148" s="120" t="s">
        <v>439</v>
      </c>
      <c r="G148" s="51" t="s">
        <v>439</v>
      </c>
      <c r="H148" s="51" t="s">
        <v>367</v>
      </c>
      <c r="I148" s="51">
        <v>250</v>
      </c>
      <c r="J148" s="51" t="s">
        <v>367</v>
      </c>
      <c r="K148" s="51">
        <v>250</v>
      </c>
      <c r="L148" s="130">
        <v>75</v>
      </c>
      <c r="M148" s="121">
        <v>18750</v>
      </c>
      <c r="N148" s="122" t="s">
        <v>363</v>
      </c>
      <c r="O148" s="25" t="s">
        <v>334</v>
      </c>
    </row>
    <row r="149" spans="1:15" ht="41.25" hidden="1" customHeight="1" x14ac:dyDescent="0.25">
      <c r="A149" s="25" t="s">
        <v>360</v>
      </c>
      <c r="B149" s="119">
        <v>27</v>
      </c>
      <c r="C149" s="129" t="s">
        <v>440</v>
      </c>
      <c r="D149" s="51" t="s">
        <v>440</v>
      </c>
      <c r="E149" s="30"/>
      <c r="F149" s="120" t="s">
        <v>441</v>
      </c>
      <c r="G149" s="53" t="s">
        <v>442</v>
      </c>
      <c r="H149" s="51" t="s">
        <v>20</v>
      </c>
      <c r="I149" s="51">
        <v>10</v>
      </c>
      <c r="J149" s="51" t="s">
        <v>20</v>
      </c>
      <c r="K149" s="51">
        <v>10</v>
      </c>
      <c r="L149" s="131">
        <v>103.2</v>
      </c>
      <c r="M149" s="121">
        <v>1032</v>
      </c>
      <c r="N149" s="122" t="s">
        <v>363</v>
      </c>
      <c r="O149" s="25" t="s">
        <v>250</v>
      </c>
    </row>
    <row r="150" spans="1:15" ht="41.25" hidden="1" customHeight="1" x14ac:dyDescent="0.25">
      <c r="A150" s="25" t="s">
        <v>360</v>
      </c>
      <c r="B150" s="119">
        <v>28</v>
      </c>
      <c r="C150" s="129" t="s">
        <v>443</v>
      </c>
      <c r="D150" s="51" t="s">
        <v>443</v>
      </c>
      <c r="E150" s="30"/>
      <c r="F150" s="120" t="s">
        <v>444</v>
      </c>
      <c r="G150" s="53" t="s">
        <v>445</v>
      </c>
      <c r="H150" s="51" t="s">
        <v>20</v>
      </c>
      <c r="I150" s="51">
        <v>10</v>
      </c>
      <c r="J150" s="51" t="s">
        <v>20</v>
      </c>
      <c r="K150" s="51">
        <v>10</v>
      </c>
      <c r="L150" s="131">
        <v>103.2</v>
      </c>
      <c r="M150" s="121">
        <v>1032</v>
      </c>
      <c r="N150" s="122" t="s">
        <v>363</v>
      </c>
      <c r="O150" s="25" t="s">
        <v>250</v>
      </c>
    </row>
    <row r="151" spans="1:15" ht="41.25" hidden="1" customHeight="1" x14ac:dyDescent="0.25">
      <c r="A151" s="25" t="s">
        <v>360</v>
      </c>
      <c r="B151" s="119">
        <v>29</v>
      </c>
      <c r="C151" s="129" t="s">
        <v>446</v>
      </c>
      <c r="D151" s="51" t="s">
        <v>446</v>
      </c>
      <c r="E151" s="30"/>
      <c r="F151" s="120" t="s">
        <v>447</v>
      </c>
      <c r="G151" s="53" t="s">
        <v>448</v>
      </c>
      <c r="H151" s="51" t="s">
        <v>20</v>
      </c>
      <c r="I151" s="51">
        <v>10</v>
      </c>
      <c r="J151" s="51" t="s">
        <v>20</v>
      </c>
      <c r="K151" s="51">
        <v>10</v>
      </c>
      <c r="L151" s="131">
        <v>103.2</v>
      </c>
      <c r="M151" s="121">
        <v>1032</v>
      </c>
      <c r="N151" s="122" t="s">
        <v>363</v>
      </c>
      <c r="O151" s="25" t="s">
        <v>250</v>
      </c>
    </row>
    <row r="152" spans="1:15" ht="41.25" hidden="1" customHeight="1" x14ac:dyDescent="0.25">
      <c r="A152" s="25" t="s">
        <v>360</v>
      </c>
      <c r="B152" s="119">
        <v>30</v>
      </c>
      <c r="C152" s="129" t="s">
        <v>449</v>
      </c>
      <c r="D152" s="51" t="s">
        <v>449</v>
      </c>
      <c r="E152" s="30"/>
      <c r="F152" s="120" t="s">
        <v>450</v>
      </c>
      <c r="G152" s="53" t="s">
        <v>451</v>
      </c>
      <c r="H152" s="51" t="s">
        <v>20</v>
      </c>
      <c r="I152" s="51">
        <v>10</v>
      </c>
      <c r="J152" s="51" t="s">
        <v>20</v>
      </c>
      <c r="K152" s="51">
        <v>10</v>
      </c>
      <c r="L152" s="131">
        <v>44.01</v>
      </c>
      <c r="M152" s="121">
        <v>440.09999999999997</v>
      </c>
      <c r="N152" s="122" t="s">
        <v>363</v>
      </c>
      <c r="O152" s="25" t="s">
        <v>334</v>
      </c>
    </row>
    <row r="153" spans="1:15" ht="41.25" hidden="1" customHeight="1" x14ac:dyDescent="0.25">
      <c r="A153" s="25" t="s">
        <v>452</v>
      </c>
      <c r="B153" s="26"/>
      <c r="C153" s="132" t="s">
        <v>453</v>
      </c>
      <c r="D153" s="78" t="s">
        <v>453</v>
      </c>
      <c r="E153" s="27"/>
      <c r="F153" s="78" t="s">
        <v>454</v>
      </c>
      <c r="G153" s="78" t="s">
        <v>454</v>
      </c>
      <c r="H153" s="28" t="s">
        <v>32</v>
      </c>
      <c r="I153" s="28">
        <v>250</v>
      </c>
      <c r="J153" s="28" t="s">
        <v>32</v>
      </c>
      <c r="K153" s="28">
        <v>250</v>
      </c>
      <c r="L153" s="29">
        <v>70</v>
      </c>
      <c r="M153" s="133">
        <f t="shared" ref="M153:M170" si="3">L153*K153</f>
        <v>17500</v>
      </c>
      <c r="N153" s="30"/>
      <c r="O153" s="25" t="s">
        <v>334</v>
      </c>
    </row>
    <row r="154" spans="1:15" ht="41.25" hidden="1" customHeight="1" x14ac:dyDescent="0.25">
      <c r="A154" s="25" t="s">
        <v>452</v>
      </c>
      <c r="B154" s="26"/>
      <c r="C154" s="27" t="s">
        <v>455</v>
      </c>
      <c r="D154" s="33" t="s">
        <v>455</v>
      </c>
      <c r="E154" s="32"/>
      <c r="F154" s="27" t="s">
        <v>456</v>
      </c>
      <c r="G154" s="33" t="s">
        <v>456</v>
      </c>
      <c r="H154" s="134" t="s">
        <v>32</v>
      </c>
      <c r="I154" s="28">
        <v>350</v>
      </c>
      <c r="J154" s="134" t="s">
        <v>32</v>
      </c>
      <c r="K154" s="28">
        <v>350</v>
      </c>
      <c r="L154" s="29">
        <v>360</v>
      </c>
      <c r="M154" s="133">
        <f t="shared" si="3"/>
        <v>126000</v>
      </c>
      <c r="N154" s="30"/>
      <c r="O154" s="25" t="s">
        <v>334</v>
      </c>
    </row>
    <row r="155" spans="1:15" ht="41.25" hidden="1" customHeight="1" x14ac:dyDescent="0.25">
      <c r="A155" s="25" t="s">
        <v>452</v>
      </c>
      <c r="B155" s="26"/>
      <c r="C155" s="135" t="s">
        <v>457</v>
      </c>
      <c r="D155" s="15" t="s">
        <v>458</v>
      </c>
      <c r="E155" s="27"/>
      <c r="F155" s="27" t="s">
        <v>459</v>
      </c>
      <c r="G155" s="33" t="s">
        <v>459</v>
      </c>
      <c r="H155" s="28" t="s">
        <v>157</v>
      </c>
      <c r="I155" s="28">
        <v>4</v>
      </c>
      <c r="J155" s="28" t="s">
        <v>157</v>
      </c>
      <c r="K155" s="28">
        <v>4</v>
      </c>
      <c r="L155" s="29">
        <v>1900</v>
      </c>
      <c r="M155" s="133">
        <f t="shared" si="3"/>
        <v>7600</v>
      </c>
      <c r="N155" s="30"/>
      <c r="O155" s="25" t="s">
        <v>334</v>
      </c>
    </row>
    <row r="156" spans="1:15" ht="41.25" hidden="1" customHeight="1" x14ac:dyDescent="0.25">
      <c r="A156" s="25" t="s">
        <v>452</v>
      </c>
      <c r="B156" s="26"/>
      <c r="C156" s="135" t="s">
        <v>460</v>
      </c>
      <c r="D156" s="15" t="s">
        <v>461</v>
      </c>
      <c r="E156" s="32"/>
      <c r="F156" s="27" t="s">
        <v>462</v>
      </c>
      <c r="G156" s="33" t="s">
        <v>462</v>
      </c>
      <c r="H156" s="28" t="s">
        <v>32</v>
      </c>
      <c r="I156" s="28">
        <v>80</v>
      </c>
      <c r="J156" s="28" t="s">
        <v>32</v>
      </c>
      <c r="K156" s="28">
        <v>80</v>
      </c>
      <c r="L156" s="29">
        <v>220</v>
      </c>
      <c r="M156" s="133">
        <f t="shared" si="3"/>
        <v>17600</v>
      </c>
      <c r="N156" s="30"/>
      <c r="O156" s="25" t="s">
        <v>334</v>
      </c>
    </row>
    <row r="157" spans="1:15" ht="41.25" hidden="1" customHeight="1" x14ac:dyDescent="0.25">
      <c r="A157" s="25" t="s">
        <v>452</v>
      </c>
      <c r="B157" s="26"/>
      <c r="C157" s="27" t="s">
        <v>463</v>
      </c>
      <c r="D157" s="13" t="s">
        <v>464</v>
      </c>
      <c r="E157" s="27"/>
      <c r="F157" s="27" t="s">
        <v>465</v>
      </c>
      <c r="G157" s="33" t="s">
        <v>465</v>
      </c>
      <c r="H157" s="136" t="s">
        <v>32</v>
      </c>
      <c r="I157" s="28">
        <v>6</v>
      </c>
      <c r="J157" s="136" t="s">
        <v>32</v>
      </c>
      <c r="K157" s="28">
        <v>6</v>
      </c>
      <c r="L157" s="29">
        <v>770</v>
      </c>
      <c r="M157" s="133">
        <f t="shared" si="3"/>
        <v>4620</v>
      </c>
      <c r="N157" s="30"/>
      <c r="O157" s="25" t="s">
        <v>334</v>
      </c>
    </row>
    <row r="158" spans="1:15" ht="41.25" hidden="1" customHeight="1" x14ac:dyDescent="0.25">
      <c r="A158" s="25" t="s">
        <v>452</v>
      </c>
      <c r="B158" s="26"/>
      <c r="C158" s="27" t="s">
        <v>466</v>
      </c>
      <c r="D158" s="13" t="s">
        <v>467</v>
      </c>
      <c r="E158" s="27"/>
      <c r="F158" s="27" t="s">
        <v>468</v>
      </c>
      <c r="G158" s="33" t="s">
        <v>468</v>
      </c>
      <c r="H158" s="136" t="s">
        <v>32</v>
      </c>
      <c r="I158" s="28">
        <v>12</v>
      </c>
      <c r="J158" s="136" t="s">
        <v>32</v>
      </c>
      <c r="K158" s="28">
        <v>12</v>
      </c>
      <c r="L158" s="29">
        <v>1160</v>
      </c>
      <c r="M158" s="133">
        <f t="shared" si="3"/>
        <v>13920</v>
      </c>
      <c r="N158" s="30"/>
      <c r="O158" s="25" t="s">
        <v>334</v>
      </c>
    </row>
    <row r="159" spans="1:15" ht="41.25" hidden="1" customHeight="1" x14ac:dyDescent="0.25">
      <c r="A159" s="25" t="s">
        <v>452</v>
      </c>
      <c r="B159" s="26"/>
      <c r="C159" s="27" t="s">
        <v>469</v>
      </c>
      <c r="D159" s="13" t="s">
        <v>470</v>
      </c>
      <c r="E159" s="25"/>
      <c r="F159" s="27" t="s">
        <v>471</v>
      </c>
      <c r="G159" s="33" t="s">
        <v>471</v>
      </c>
      <c r="H159" s="136" t="s">
        <v>32</v>
      </c>
      <c r="I159" s="28">
        <v>20</v>
      </c>
      <c r="J159" s="136" t="s">
        <v>32</v>
      </c>
      <c r="K159" s="28">
        <v>20</v>
      </c>
      <c r="L159" s="29">
        <v>1560</v>
      </c>
      <c r="M159" s="133">
        <f t="shared" si="3"/>
        <v>31200</v>
      </c>
      <c r="N159" s="30"/>
      <c r="O159" s="25" t="s">
        <v>334</v>
      </c>
    </row>
    <row r="160" spans="1:15" ht="41.25" hidden="1" customHeight="1" x14ac:dyDescent="0.25">
      <c r="A160" s="25" t="s">
        <v>452</v>
      </c>
      <c r="B160" s="137"/>
      <c r="C160" s="138" t="s">
        <v>472</v>
      </c>
      <c r="D160" s="139" t="s">
        <v>472</v>
      </c>
      <c r="E160" s="140"/>
      <c r="F160" s="140"/>
      <c r="G160" s="95" t="s">
        <v>472</v>
      </c>
      <c r="H160" s="141" t="s">
        <v>473</v>
      </c>
      <c r="I160" s="141">
        <v>2</v>
      </c>
      <c r="J160" s="141" t="s">
        <v>473</v>
      </c>
      <c r="K160" s="141">
        <v>2</v>
      </c>
      <c r="L160" s="29">
        <v>660</v>
      </c>
      <c r="M160" s="142">
        <f t="shared" si="3"/>
        <v>1320</v>
      </c>
      <c r="N160" s="140"/>
      <c r="O160" s="25" t="s">
        <v>334</v>
      </c>
    </row>
    <row r="161" spans="1:15" ht="41.25" hidden="1" customHeight="1" x14ac:dyDescent="0.25">
      <c r="A161" s="25" t="s">
        <v>452</v>
      </c>
      <c r="B161" s="26"/>
      <c r="C161" s="27" t="s">
        <v>474</v>
      </c>
      <c r="D161" s="143" t="s">
        <v>475</v>
      </c>
      <c r="E161" s="27"/>
      <c r="F161" s="27" t="s">
        <v>476</v>
      </c>
      <c r="G161" s="143" t="s">
        <v>477</v>
      </c>
      <c r="H161" s="28" t="s">
        <v>478</v>
      </c>
      <c r="I161" s="28">
        <v>30</v>
      </c>
      <c r="J161" s="28" t="s">
        <v>478</v>
      </c>
      <c r="K161" s="28">
        <v>30</v>
      </c>
      <c r="L161" s="29">
        <v>4250</v>
      </c>
      <c r="M161" s="133">
        <f t="shared" si="3"/>
        <v>127500</v>
      </c>
      <c r="N161" s="30"/>
      <c r="O161" s="25" t="s">
        <v>334</v>
      </c>
    </row>
    <row r="162" spans="1:15" ht="41.25" hidden="1" customHeight="1" x14ac:dyDescent="0.25">
      <c r="A162" s="25" t="s">
        <v>452</v>
      </c>
      <c r="B162" s="26"/>
      <c r="C162" s="144" t="s">
        <v>479</v>
      </c>
      <c r="D162" s="73" t="s">
        <v>479</v>
      </c>
      <c r="E162" s="145"/>
      <c r="F162" s="144" t="s">
        <v>480</v>
      </c>
      <c r="G162" s="73" t="s">
        <v>480</v>
      </c>
      <c r="H162" s="73" t="s">
        <v>481</v>
      </c>
      <c r="I162" s="73">
        <v>5</v>
      </c>
      <c r="J162" s="73" t="s">
        <v>481</v>
      </c>
      <c r="K162" s="73">
        <v>5</v>
      </c>
      <c r="L162" s="29">
        <v>100</v>
      </c>
      <c r="M162" s="133">
        <f t="shared" si="3"/>
        <v>500</v>
      </c>
      <c r="N162" s="30"/>
      <c r="O162" s="25" t="s">
        <v>334</v>
      </c>
    </row>
    <row r="163" spans="1:15" ht="41.25" hidden="1" customHeight="1" x14ac:dyDescent="0.25">
      <c r="A163" s="25" t="s">
        <v>452</v>
      </c>
      <c r="B163" s="26"/>
      <c r="C163" s="27" t="s">
        <v>482</v>
      </c>
      <c r="D163" s="15" t="s">
        <v>483</v>
      </c>
      <c r="E163" s="27"/>
      <c r="F163" s="27" t="s">
        <v>484</v>
      </c>
      <c r="G163" s="33" t="s">
        <v>484</v>
      </c>
      <c r="H163" s="28" t="s">
        <v>32</v>
      </c>
      <c r="I163" s="28">
        <v>2000</v>
      </c>
      <c r="J163" s="28" t="s">
        <v>32</v>
      </c>
      <c r="K163" s="28">
        <v>2000</v>
      </c>
      <c r="L163" s="29">
        <v>906</v>
      </c>
      <c r="M163" s="133">
        <f t="shared" si="3"/>
        <v>1812000</v>
      </c>
      <c r="N163" s="30"/>
      <c r="O163" s="25" t="s">
        <v>334</v>
      </c>
    </row>
    <row r="164" spans="1:15" ht="41.25" hidden="1" customHeight="1" x14ac:dyDescent="0.25">
      <c r="A164" s="25" t="s">
        <v>452</v>
      </c>
      <c r="B164" s="26"/>
      <c r="C164" s="111" t="s">
        <v>485</v>
      </c>
      <c r="D164" s="92" t="s">
        <v>485</v>
      </c>
      <c r="E164" s="113"/>
      <c r="F164" s="113" t="s">
        <v>486</v>
      </c>
      <c r="G164" s="92" t="s">
        <v>486</v>
      </c>
      <c r="H164" s="34" t="s">
        <v>164</v>
      </c>
      <c r="I164" s="34">
        <v>100</v>
      </c>
      <c r="J164" s="34" t="s">
        <v>164</v>
      </c>
      <c r="K164" s="34">
        <v>100</v>
      </c>
      <c r="L164" s="29">
        <v>1300</v>
      </c>
      <c r="M164" s="133">
        <f t="shared" si="3"/>
        <v>130000</v>
      </c>
      <c r="N164" s="30"/>
      <c r="O164" s="25" t="s">
        <v>334</v>
      </c>
    </row>
    <row r="165" spans="1:15" ht="41.25" hidden="1" customHeight="1" x14ac:dyDescent="0.25">
      <c r="A165" s="25" t="s">
        <v>452</v>
      </c>
      <c r="B165" s="137"/>
      <c r="C165" s="75" t="s">
        <v>487</v>
      </c>
      <c r="D165" s="92" t="s">
        <v>487</v>
      </c>
      <c r="E165" s="25"/>
      <c r="F165" s="146" t="s">
        <v>488</v>
      </c>
      <c r="G165" s="147" t="s">
        <v>489</v>
      </c>
      <c r="H165" s="34" t="s">
        <v>490</v>
      </c>
      <c r="I165" s="107">
        <v>1000</v>
      </c>
      <c r="J165" s="34" t="s">
        <v>490</v>
      </c>
      <c r="K165" s="107">
        <v>1000</v>
      </c>
      <c r="L165" s="29">
        <v>0.32</v>
      </c>
      <c r="M165" s="133">
        <f t="shared" si="3"/>
        <v>320</v>
      </c>
      <c r="N165" s="148"/>
      <c r="O165" s="25" t="s">
        <v>334</v>
      </c>
    </row>
    <row r="166" spans="1:15" ht="41.25" hidden="1" customHeight="1" x14ac:dyDescent="0.25">
      <c r="A166" s="25" t="s">
        <v>452</v>
      </c>
      <c r="B166" s="137"/>
      <c r="C166" s="75" t="s">
        <v>491</v>
      </c>
      <c r="D166" s="92" t="s">
        <v>491</v>
      </c>
      <c r="E166" s="25"/>
      <c r="F166" s="146" t="s">
        <v>492</v>
      </c>
      <c r="G166" s="147" t="s">
        <v>493</v>
      </c>
      <c r="H166" s="34" t="s">
        <v>494</v>
      </c>
      <c r="I166" s="107">
        <v>1000</v>
      </c>
      <c r="J166" s="34" t="s">
        <v>494</v>
      </c>
      <c r="K166" s="107">
        <v>1000</v>
      </c>
      <c r="L166" s="29">
        <v>0.12</v>
      </c>
      <c r="M166" s="133">
        <f t="shared" si="3"/>
        <v>120</v>
      </c>
      <c r="N166" s="148"/>
      <c r="O166" s="25" t="s">
        <v>334</v>
      </c>
    </row>
    <row r="167" spans="1:15" ht="41.25" hidden="1" customHeight="1" x14ac:dyDescent="0.25">
      <c r="A167" s="25" t="s">
        <v>452</v>
      </c>
      <c r="B167" s="35"/>
      <c r="C167" s="149" t="s">
        <v>495</v>
      </c>
      <c r="D167" s="33" t="s">
        <v>495</v>
      </c>
      <c r="E167" s="25"/>
      <c r="F167" s="27" t="s">
        <v>496</v>
      </c>
      <c r="G167" s="33" t="s">
        <v>496</v>
      </c>
      <c r="H167" s="28"/>
      <c r="I167" s="28">
        <v>5</v>
      </c>
      <c r="J167" s="28"/>
      <c r="K167" s="28">
        <v>5</v>
      </c>
      <c r="L167" s="29">
        <v>130000</v>
      </c>
      <c r="M167" s="133">
        <f t="shared" si="3"/>
        <v>650000</v>
      </c>
      <c r="N167" s="30"/>
      <c r="O167" s="25" t="s">
        <v>250</v>
      </c>
    </row>
    <row r="168" spans="1:15" ht="41.25" hidden="1" customHeight="1" x14ac:dyDescent="0.25">
      <c r="A168" s="25" t="s">
        <v>452</v>
      </c>
      <c r="B168" s="35"/>
      <c r="C168" s="150" t="s">
        <v>497</v>
      </c>
      <c r="D168" s="151" t="s">
        <v>497</v>
      </c>
      <c r="E168" s="25"/>
      <c r="F168" s="27" t="s">
        <v>498</v>
      </c>
      <c r="G168" s="33" t="s">
        <v>498</v>
      </c>
      <c r="H168" s="28"/>
      <c r="I168" s="28">
        <v>1</v>
      </c>
      <c r="J168" s="28"/>
      <c r="K168" s="28">
        <v>1</v>
      </c>
      <c r="L168" s="29">
        <v>140000</v>
      </c>
      <c r="M168" s="133">
        <f t="shared" si="3"/>
        <v>140000</v>
      </c>
      <c r="N168" s="30"/>
      <c r="O168" s="25" t="s">
        <v>250</v>
      </c>
    </row>
    <row r="169" spans="1:15" ht="41.25" hidden="1" customHeight="1" x14ac:dyDescent="0.25">
      <c r="A169" s="25" t="s">
        <v>452</v>
      </c>
      <c r="B169" s="35"/>
      <c r="C169" s="113" t="s">
        <v>499</v>
      </c>
      <c r="D169" s="92" t="s">
        <v>499</v>
      </c>
      <c r="E169" s="25"/>
      <c r="F169" s="25" t="s">
        <v>500</v>
      </c>
      <c r="G169" s="92" t="s">
        <v>500</v>
      </c>
      <c r="H169" s="26"/>
      <c r="I169" s="107">
        <v>1</v>
      </c>
      <c r="J169" s="26"/>
      <c r="K169" s="107">
        <v>1</v>
      </c>
      <c r="L169" s="29">
        <v>110000</v>
      </c>
      <c r="M169" s="133">
        <f t="shared" si="3"/>
        <v>110000</v>
      </c>
      <c r="N169" s="30"/>
      <c r="O169" s="25" t="s">
        <v>250</v>
      </c>
    </row>
    <row r="170" spans="1:15" ht="41.25" hidden="1" customHeight="1" x14ac:dyDescent="0.25">
      <c r="A170" s="25" t="s">
        <v>452</v>
      </c>
      <c r="B170" s="35"/>
      <c r="C170" s="75" t="s">
        <v>501</v>
      </c>
      <c r="D170" s="92" t="s">
        <v>501</v>
      </c>
      <c r="E170" s="25"/>
      <c r="F170" s="25" t="s">
        <v>502</v>
      </c>
      <c r="G170" s="92" t="s">
        <v>502</v>
      </c>
      <c r="H170" s="26"/>
      <c r="I170" s="107">
        <v>1</v>
      </c>
      <c r="J170" s="26"/>
      <c r="K170" s="107">
        <v>1</v>
      </c>
      <c r="L170" s="29">
        <v>120000</v>
      </c>
      <c r="M170" s="133">
        <f t="shared" si="3"/>
        <v>120000</v>
      </c>
      <c r="N170" s="30"/>
      <c r="O170" s="25" t="s">
        <v>250</v>
      </c>
    </row>
    <row r="171" spans="1:15" ht="41.25" hidden="1" customHeight="1" x14ac:dyDescent="0.25">
      <c r="A171" s="25" t="s">
        <v>503</v>
      </c>
      <c r="B171" s="152">
        <v>1</v>
      </c>
      <c r="C171" s="153" t="s">
        <v>504</v>
      </c>
      <c r="D171" s="154" t="s">
        <v>504</v>
      </c>
      <c r="E171" s="153" t="s">
        <v>504</v>
      </c>
      <c r="F171" s="155" t="s">
        <v>505</v>
      </c>
      <c r="G171" s="156" t="s">
        <v>505</v>
      </c>
      <c r="H171" s="157" t="s">
        <v>32</v>
      </c>
      <c r="I171" s="152">
        <v>20</v>
      </c>
      <c r="J171" s="157" t="s">
        <v>32</v>
      </c>
      <c r="K171" s="152">
        <v>20</v>
      </c>
      <c r="L171" s="157">
        <v>250</v>
      </c>
      <c r="M171" s="157">
        <v>5000</v>
      </c>
      <c r="N171" s="30"/>
      <c r="O171" s="25" t="s">
        <v>359</v>
      </c>
    </row>
    <row r="172" spans="1:15" ht="41.25" hidden="1" customHeight="1" x14ac:dyDescent="0.25">
      <c r="A172" s="25" t="s">
        <v>506</v>
      </c>
      <c r="B172" s="158">
        <v>2</v>
      </c>
      <c r="C172" s="155" t="s">
        <v>507</v>
      </c>
      <c r="D172" s="156" t="s">
        <v>507</v>
      </c>
      <c r="E172" s="159"/>
      <c r="F172" s="155" t="s">
        <v>508</v>
      </c>
      <c r="G172" s="156" t="s">
        <v>508</v>
      </c>
      <c r="H172" s="164" t="s">
        <v>509</v>
      </c>
      <c r="I172" s="162">
        <v>10</v>
      </c>
      <c r="J172" s="164" t="s">
        <v>509</v>
      </c>
      <c r="K172" s="162">
        <v>10</v>
      </c>
      <c r="L172" s="163">
        <v>180</v>
      </c>
      <c r="M172" s="165">
        <v>1800</v>
      </c>
      <c r="N172" s="30"/>
      <c r="O172" s="25" t="s">
        <v>250</v>
      </c>
    </row>
    <row r="173" spans="1:15" ht="41.25" hidden="1" customHeight="1" x14ac:dyDescent="0.25">
      <c r="A173" s="25" t="s">
        <v>506</v>
      </c>
      <c r="B173" s="158">
        <v>3</v>
      </c>
      <c r="C173" s="164" t="s">
        <v>510</v>
      </c>
      <c r="D173" s="166" t="s">
        <v>510</v>
      </c>
      <c r="E173" s="159"/>
      <c r="F173" s="164" t="s">
        <v>511</v>
      </c>
      <c r="G173" s="166" t="s">
        <v>511</v>
      </c>
      <c r="H173" s="164" t="s">
        <v>509</v>
      </c>
      <c r="I173" s="162">
        <v>30</v>
      </c>
      <c r="J173" s="164" t="s">
        <v>509</v>
      </c>
      <c r="K173" s="162">
        <v>30</v>
      </c>
      <c r="L173" s="163">
        <v>10</v>
      </c>
      <c r="M173" s="163">
        <v>300</v>
      </c>
      <c r="N173" s="30"/>
      <c r="O173" s="25" t="s">
        <v>314</v>
      </c>
    </row>
    <row r="174" spans="1:15" ht="41.25" hidden="1" customHeight="1" x14ac:dyDescent="0.25">
      <c r="A174" s="25" t="s">
        <v>506</v>
      </c>
      <c r="B174" s="158">
        <v>4</v>
      </c>
      <c r="C174" s="164" t="s">
        <v>512</v>
      </c>
      <c r="D174" s="166" t="s">
        <v>512</v>
      </c>
      <c r="E174" s="164" t="s">
        <v>513</v>
      </c>
      <c r="F174" s="164" t="s">
        <v>513</v>
      </c>
      <c r="G174" s="166" t="s">
        <v>513</v>
      </c>
      <c r="H174" s="164" t="s">
        <v>509</v>
      </c>
      <c r="I174" s="162">
        <v>20</v>
      </c>
      <c r="J174" s="164" t="s">
        <v>509</v>
      </c>
      <c r="K174" s="162">
        <v>20</v>
      </c>
      <c r="L174" s="112">
        <v>333</v>
      </c>
      <c r="M174" s="163">
        <v>6660</v>
      </c>
      <c r="N174" s="30"/>
      <c r="O174" s="25" t="s">
        <v>250</v>
      </c>
    </row>
    <row r="175" spans="1:15" ht="41.25" hidden="1" customHeight="1" x14ac:dyDescent="0.25">
      <c r="A175" s="25" t="s">
        <v>506</v>
      </c>
      <c r="B175" s="158">
        <v>5</v>
      </c>
      <c r="C175" s="164" t="s">
        <v>514</v>
      </c>
      <c r="D175" s="166" t="s">
        <v>514</v>
      </c>
      <c r="E175" s="159"/>
      <c r="F175" s="164" t="s">
        <v>515</v>
      </c>
      <c r="G175" s="166" t="s">
        <v>515</v>
      </c>
      <c r="H175" s="164" t="s">
        <v>509</v>
      </c>
      <c r="I175" s="162">
        <v>4</v>
      </c>
      <c r="J175" s="164" t="s">
        <v>509</v>
      </c>
      <c r="K175" s="162">
        <v>4</v>
      </c>
      <c r="L175" s="112">
        <v>400</v>
      </c>
      <c r="M175" s="163">
        <v>1600</v>
      </c>
      <c r="N175" s="30"/>
      <c r="O175" s="25" t="s">
        <v>250</v>
      </c>
    </row>
    <row r="176" spans="1:15" ht="41.25" hidden="1" customHeight="1" x14ac:dyDescent="0.25">
      <c r="A176" s="25" t="s">
        <v>506</v>
      </c>
      <c r="B176" s="158">
        <v>6</v>
      </c>
      <c r="C176" s="164" t="s">
        <v>516</v>
      </c>
      <c r="D176" s="166" t="s">
        <v>516</v>
      </c>
      <c r="E176" s="164" t="s">
        <v>517</v>
      </c>
      <c r="F176" s="164" t="s">
        <v>516</v>
      </c>
      <c r="G176" s="166" t="s">
        <v>516</v>
      </c>
      <c r="H176" s="164" t="s">
        <v>509</v>
      </c>
      <c r="I176" s="162">
        <v>2</v>
      </c>
      <c r="J176" s="164" t="s">
        <v>509</v>
      </c>
      <c r="K176" s="162">
        <v>2</v>
      </c>
      <c r="L176" s="112">
        <v>400</v>
      </c>
      <c r="M176" s="163">
        <v>800</v>
      </c>
      <c r="N176" s="30"/>
      <c r="O176" s="25" t="s">
        <v>250</v>
      </c>
    </row>
    <row r="177" spans="1:15" ht="41.25" hidden="1" customHeight="1" x14ac:dyDescent="0.25">
      <c r="A177" s="25" t="s">
        <v>506</v>
      </c>
      <c r="B177" s="26">
        <v>7</v>
      </c>
      <c r="C177" s="164" t="s">
        <v>518</v>
      </c>
      <c r="D177" s="166" t="s">
        <v>518</v>
      </c>
      <c r="E177" s="25"/>
      <c r="F177" s="164" t="s">
        <v>519</v>
      </c>
      <c r="G177" s="167" t="s">
        <v>520</v>
      </c>
      <c r="H177" s="112" t="s">
        <v>509</v>
      </c>
      <c r="I177" s="106">
        <v>10</v>
      </c>
      <c r="J177" s="112" t="s">
        <v>509</v>
      </c>
      <c r="K177" s="106">
        <v>10</v>
      </c>
      <c r="L177" s="112">
        <v>114</v>
      </c>
      <c r="M177" s="112">
        <v>1140</v>
      </c>
      <c r="N177" s="30"/>
      <c r="O177" s="25" t="s">
        <v>250</v>
      </c>
    </row>
    <row r="178" spans="1:15" ht="41.25" hidden="1" customHeight="1" x14ac:dyDescent="0.25">
      <c r="A178" s="25" t="s">
        <v>506</v>
      </c>
      <c r="B178" s="26">
        <v>8</v>
      </c>
      <c r="C178" s="168" t="s">
        <v>521</v>
      </c>
      <c r="D178" s="169" t="s">
        <v>522</v>
      </c>
      <c r="E178" s="25"/>
      <c r="F178" s="155" t="s">
        <v>523</v>
      </c>
      <c r="G178" s="156" t="s">
        <v>523</v>
      </c>
      <c r="H178" s="112" t="s">
        <v>509</v>
      </c>
      <c r="I178" s="106">
        <v>400</v>
      </c>
      <c r="J178" s="112" t="s">
        <v>509</v>
      </c>
      <c r="K178" s="106">
        <v>400</v>
      </c>
      <c r="L178" s="112">
        <v>95</v>
      </c>
      <c r="M178" s="112">
        <v>38000</v>
      </c>
      <c r="N178" s="30"/>
      <c r="O178" s="25" t="s">
        <v>314</v>
      </c>
    </row>
    <row r="179" spans="1:15" ht="41.25" hidden="1" customHeight="1" x14ac:dyDescent="0.25">
      <c r="A179" s="25" t="s">
        <v>506</v>
      </c>
      <c r="B179" s="26">
        <v>9</v>
      </c>
      <c r="C179" s="155" t="s">
        <v>524</v>
      </c>
      <c r="D179" s="156" t="s">
        <v>524</v>
      </c>
      <c r="E179" s="25"/>
      <c r="F179" s="168" t="s">
        <v>525</v>
      </c>
      <c r="G179" s="156" t="s">
        <v>525</v>
      </c>
      <c r="H179" s="112" t="s">
        <v>509</v>
      </c>
      <c r="I179" s="106">
        <v>400</v>
      </c>
      <c r="J179" s="112" t="s">
        <v>509</v>
      </c>
      <c r="K179" s="106">
        <v>400</v>
      </c>
      <c r="L179" s="112">
        <v>95</v>
      </c>
      <c r="M179" s="112">
        <v>38000</v>
      </c>
      <c r="N179" s="30"/>
      <c r="O179" s="25" t="s">
        <v>359</v>
      </c>
    </row>
    <row r="180" spans="1:15" ht="41.25" hidden="1" customHeight="1" x14ac:dyDescent="0.25">
      <c r="A180" s="25" t="s">
        <v>506</v>
      </c>
      <c r="B180" s="26">
        <v>10</v>
      </c>
      <c r="C180" s="168" t="s">
        <v>526</v>
      </c>
      <c r="D180" s="169" t="s">
        <v>527</v>
      </c>
      <c r="E180" s="25"/>
      <c r="F180" s="170" t="s">
        <v>528</v>
      </c>
      <c r="G180" s="171" t="s">
        <v>528</v>
      </c>
      <c r="H180" s="112" t="s">
        <v>509</v>
      </c>
      <c r="I180" s="106">
        <v>200</v>
      </c>
      <c r="J180" s="112" t="s">
        <v>509</v>
      </c>
      <c r="K180" s="106">
        <v>200</v>
      </c>
      <c r="L180" s="112">
        <v>24</v>
      </c>
      <c r="M180" s="112">
        <v>4800</v>
      </c>
      <c r="N180" s="30"/>
      <c r="O180" s="25" t="s">
        <v>314</v>
      </c>
    </row>
    <row r="181" spans="1:15" ht="41.25" hidden="1" customHeight="1" x14ac:dyDescent="0.25">
      <c r="A181" s="25" t="s">
        <v>506</v>
      </c>
      <c r="B181" s="26">
        <v>11</v>
      </c>
      <c r="C181" s="164" t="s">
        <v>529</v>
      </c>
      <c r="D181" s="166" t="s">
        <v>529</v>
      </c>
      <c r="E181" s="25"/>
      <c r="F181" s="164" t="s">
        <v>530</v>
      </c>
      <c r="G181" s="166" t="s">
        <v>530</v>
      </c>
      <c r="H181" s="112" t="s">
        <v>509</v>
      </c>
      <c r="I181" s="106">
        <v>1</v>
      </c>
      <c r="J181" s="112" t="s">
        <v>509</v>
      </c>
      <c r="K181" s="106">
        <v>1</v>
      </c>
      <c r="L181" s="112">
        <v>950</v>
      </c>
      <c r="M181" s="112">
        <v>950</v>
      </c>
      <c r="N181" s="30"/>
      <c r="O181" s="25" t="s">
        <v>250</v>
      </c>
    </row>
    <row r="182" spans="1:15" ht="41.25" hidden="1" customHeight="1" x14ac:dyDescent="0.25">
      <c r="A182" s="25" t="s">
        <v>506</v>
      </c>
      <c r="B182" s="26">
        <v>12</v>
      </c>
      <c r="C182" s="164" t="s">
        <v>531</v>
      </c>
      <c r="D182" s="166" t="s">
        <v>531</v>
      </c>
      <c r="E182" s="25"/>
      <c r="F182" s="164" t="s">
        <v>532</v>
      </c>
      <c r="G182" s="166" t="s">
        <v>532</v>
      </c>
      <c r="H182" s="112" t="s">
        <v>509</v>
      </c>
      <c r="I182" s="106">
        <v>2</v>
      </c>
      <c r="J182" s="112" t="s">
        <v>509</v>
      </c>
      <c r="K182" s="106">
        <v>2</v>
      </c>
      <c r="L182" s="112">
        <v>950</v>
      </c>
      <c r="M182" s="112">
        <v>1900</v>
      </c>
      <c r="N182" s="30"/>
      <c r="O182" s="25" t="s">
        <v>250</v>
      </c>
    </row>
    <row r="183" spans="1:15" ht="41.25" hidden="1" customHeight="1" x14ac:dyDescent="0.25">
      <c r="A183" s="25" t="s">
        <v>506</v>
      </c>
      <c r="B183" s="26">
        <v>13</v>
      </c>
      <c r="C183" s="164" t="s">
        <v>533</v>
      </c>
      <c r="D183" s="166" t="s">
        <v>533</v>
      </c>
      <c r="E183" s="25"/>
      <c r="F183" s="164" t="s">
        <v>534</v>
      </c>
      <c r="G183" s="166" t="s">
        <v>534</v>
      </c>
      <c r="H183" s="112" t="s">
        <v>509</v>
      </c>
      <c r="I183" s="106">
        <v>2</v>
      </c>
      <c r="J183" s="112" t="s">
        <v>509</v>
      </c>
      <c r="K183" s="106">
        <v>2</v>
      </c>
      <c r="L183" s="112">
        <v>950</v>
      </c>
      <c r="M183" s="112">
        <v>1900</v>
      </c>
      <c r="N183" s="30"/>
      <c r="O183" s="25" t="s">
        <v>250</v>
      </c>
    </row>
    <row r="184" spans="1:15" ht="41.25" hidden="1" customHeight="1" x14ac:dyDescent="0.25">
      <c r="A184" s="25" t="s">
        <v>506</v>
      </c>
      <c r="B184" s="26">
        <v>14</v>
      </c>
      <c r="C184" s="164" t="s">
        <v>535</v>
      </c>
      <c r="D184" s="166" t="s">
        <v>535</v>
      </c>
      <c r="E184" s="25"/>
      <c r="F184" s="164" t="s">
        <v>536</v>
      </c>
      <c r="G184" s="166" t="s">
        <v>536</v>
      </c>
      <c r="H184" s="112" t="s">
        <v>509</v>
      </c>
      <c r="I184" s="106">
        <v>2</v>
      </c>
      <c r="J184" s="112" t="s">
        <v>509</v>
      </c>
      <c r="K184" s="106">
        <v>2</v>
      </c>
      <c r="L184" s="112">
        <v>950</v>
      </c>
      <c r="M184" s="112">
        <v>1900</v>
      </c>
      <c r="N184" s="30"/>
      <c r="O184" s="25" t="s">
        <v>250</v>
      </c>
    </row>
    <row r="185" spans="1:15" ht="41.25" hidden="1" customHeight="1" x14ac:dyDescent="0.25">
      <c r="A185" s="25" t="s">
        <v>506</v>
      </c>
      <c r="B185" s="26">
        <v>15</v>
      </c>
      <c r="C185" s="164" t="s">
        <v>537</v>
      </c>
      <c r="D185" s="166" t="s">
        <v>537</v>
      </c>
      <c r="E185" s="25"/>
      <c r="F185" s="164" t="s">
        <v>538</v>
      </c>
      <c r="G185" s="166" t="s">
        <v>538</v>
      </c>
      <c r="H185" s="112" t="s">
        <v>509</v>
      </c>
      <c r="I185" s="106">
        <v>4</v>
      </c>
      <c r="J185" s="112" t="s">
        <v>509</v>
      </c>
      <c r="K185" s="106">
        <v>4</v>
      </c>
      <c r="L185" s="112">
        <v>950</v>
      </c>
      <c r="M185" s="112">
        <v>3800</v>
      </c>
      <c r="N185" s="30"/>
      <c r="O185" s="25" t="s">
        <v>250</v>
      </c>
    </row>
    <row r="186" spans="1:15" ht="41.25" hidden="1" customHeight="1" x14ac:dyDescent="0.25">
      <c r="A186" s="25" t="s">
        <v>506</v>
      </c>
      <c r="B186" s="26">
        <v>16</v>
      </c>
      <c r="C186" s="164" t="s">
        <v>539</v>
      </c>
      <c r="D186" s="166" t="s">
        <v>539</v>
      </c>
      <c r="E186" s="25"/>
      <c r="F186" s="164" t="s">
        <v>540</v>
      </c>
      <c r="G186" s="166" t="s">
        <v>540</v>
      </c>
      <c r="H186" s="112" t="s">
        <v>509</v>
      </c>
      <c r="I186" s="106">
        <v>4</v>
      </c>
      <c r="J186" s="112" t="s">
        <v>509</v>
      </c>
      <c r="K186" s="106">
        <v>4</v>
      </c>
      <c r="L186" s="112">
        <v>1500</v>
      </c>
      <c r="M186" s="112">
        <v>6000</v>
      </c>
      <c r="N186" s="30"/>
      <c r="O186" s="25" t="s">
        <v>250</v>
      </c>
    </row>
    <row r="187" spans="1:15" s="21" customFormat="1" ht="41.25" hidden="1" customHeight="1" x14ac:dyDescent="0.25">
      <c r="A187" s="22" t="s">
        <v>506</v>
      </c>
      <c r="B187" s="172">
        <v>17</v>
      </c>
      <c r="C187" s="173" t="s">
        <v>541</v>
      </c>
      <c r="D187" s="174" t="s">
        <v>541</v>
      </c>
      <c r="E187" s="22"/>
      <c r="F187" s="173" t="s">
        <v>542</v>
      </c>
      <c r="G187" s="167" t="s">
        <v>543</v>
      </c>
      <c r="H187" s="175" t="s">
        <v>509</v>
      </c>
      <c r="I187" s="176">
        <v>6</v>
      </c>
      <c r="J187" s="175" t="s">
        <v>509</v>
      </c>
      <c r="K187" s="176">
        <v>6</v>
      </c>
      <c r="L187" s="175">
        <v>700</v>
      </c>
      <c r="M187" s="175">
        <v>4200</v>
      </c>
      <c r="N187" s="19"/>
      <c r="O187" s="25" t="s">
        <v>250</v>
      </c>
    </row>
    <row r="188" spans="1:15" ht="41.25" hidden="1" customHeight="1" x14ac:dyDescent="0.25">
      <c r="A188" s="25" t="s">
        <v>506</v>
      </c>
      <c r="B188" s="26">
        <v>18</v>
      </c>
      <c r="C188" s="164" t="s">
        <v>544</v>
      </c>
      <c r="D188" s="166" t="s">
        <v>544</v>
      </c>
      <c r="E188" s="25"/>
      <c r="F188" s="164" t="s">
        <v>545</v>
      </c>
      <c r="G188" s="166" t="s">
        <v>545</v>
      </c>
      <c r="H188" s="112" t="s">
        <v>509</v>
      </c>
      <c r="I188" s="106">
        <v>3</v>
      </c>
      <c r="J188" s="112" t="s">
        <v>509</v>
      </c>
      <c r="K188" s="106">
        <v>3</v>
      </c>
      <c r="L188" s="112">
        <v>1500</v>
      </c>
      <c r="M188" s="112">
        <v>4500</v>
      </c>
      <c r="N188" s="30"/>
      <c r="O188" s="25" t="s">
        <v>250</v>
      </c>
    </row>
    <row r="189" spans="1:15" ht="41.25" hidden="1" customHeight="1" x14ac:dyDescent="0.25">
      <c r="A189" s="25" t="s">
        <v>506</v>
      </c>
      <c r="B189" s="26">
        <v>19</v>
      </c>
      <c r="C189" s="168" t="s">
        <v>546</v>
      </c>
      <c r="D189" s="169" t="s">
        <v>547</v>
      </c>
      <c r="E189" s="25"/>
      <c r="F189" s="155" t="s">
        <v>548</v>
      </c>
      <c r="G189" s="156" t="s">
        <v>548</v>
      </c>
      <c r="H189" s="112" t="s">
        <v>509</v>
      </c>
      <c r="I189" s="106">
        <v>160</v>
      </c>
      <c r="J189" s="112" t="s">
        <v>509</v>
      </c>
      <c r="K189" s="106">
        <v>160</v>
      </c>
      <c r="L189" s="112">
        <v>200</v>
      </c>
      <c r="M189" s="112">
        <v>32000</v>
      </c>
      <c r="N189" s="30"/>
      <c r="O189" s="25" t="s">
        <v>250</v>
      </c>
    </row>
    <row r="190" spans="1:15" ht="41.25" hidden="1" customHeight="1" x14ac:dyDescent="0.25">
      <c r="A190" s="25" t="s">
        <v>506</v>
      </c>
      <c r="B190" s="26">
        <v>19</v>
      </c>
      <c r="C190" s="168" t="s">
        <v>546</v>
      </c>
      <c r="D190" s="169" t="s">
        <v>549</v>
      </c>
      <c r="E190" s="25"/>
      <c r="F190" s="155" t="s">
        <v>550</v>
      </c>
      <c r="G190" s="156" t="s">
        <v>550</v>
      </c>
      <c r="H190" s="112" t="s">
        <v>509</v>
      </c>
      <c r="I190" s="106">
        <v>240</v>
      </c>
      <c r="J190" s="112" t="s">
        <v>509</v>
      </c>
      <c r="K190" s="106">
        <v>240</v>
      </c>
      <c r="L190" s="112">
        <v>200</v>
      </c>
      <c r="M190" s="112">
        <v>48000</v>
      </c>
      <c r="N190" s="30"/>
      <c r="O190" s="25" t="s">
        <v>250</v>
      </c>
    </row>
    <row r="191" spans="1:15" ht="41.25" hidden="1" customHeight="1" x14ac:dyDescent="0.25">
      <c r="A191" s="25" t="s">
        <v>506</v>
      </c>
      <c r="B191" s="26">
        <v>19</v>
      </c>
      <c r="C191" s="168" t="s">
        <v>546</v>
      </c>
      <c r="D191" s="169" t="s">
        <v>551</v>
      </c>
      <c r="E191" s="25"/>
      <c r="F191" s="25" t="s">
        <v>552</v>
      </c>
      <c r="G191" s="92" t="s">
        <v>552</v>
      </c>
      <c r="H191" s="112" t="s">
        <v>509</v>
      </c>
      <c r="I191" s="106">
        <v>120</v>
      </c>
      <c r="J191" s="112" t="s">
        <v>509</v>
      </c>
      <c r="K191" s="106">
        <v>120</v>
      </c>
      <c r="L191" s="112">
        <v>200</v>
      </c>
      <c r="M191" s="112">
        <v>24000</v>
      </c>
      <c r="N191" s="30"/>
      <c r="O191" s="25" t="s">
        <v>250</v>
      </c>
    </row>
    <row r="192" spans="1:15" ht="41.25" hidden="1" customHeight="1" x14ac:dyDescent="0.25">
      <c r="A192" s="25" t="s">
        <v>506</v>
      </c>
      <c r="B192" s="26">
        <v>19</v>
      </c>
      <c r="C192" s="168" t="s">
        <v>546</v>
      </c>
      <c r="D192" s="169" t="s">
        <v>553</v>
      </c>
      <c r="E192" s="25"/>
      <c r="F192" s="25" t="s">
        <v>554</v>
      </c>
      <c r="G192" s="92" t="s">
        <v>554</v>
      </c>
      <c r="H192" s="112" t="s">
        <v>509</v>
      </c>
      <c r="I192" s="106">
        <v>120</v>
      </c>
      <c r="J192" s="112" t="s">
        <v>509</v>
      </c>
      <c r="K192" s="106">
        <v>120</v>
      </c>
      <c r="L192" s="112">
        <v>200</v>
      </c>
      <c r="M192" s="112">
        <v>24000</v>
      </c>
      <c r="N192" s="30"/>
      <c r="O192" s="25" t="s">
        <v>250</v>
      </c>
    </row>
    <row r="193" spans="1:15" ht="41.25" hidden="1" customHeight="1" x14ac:dyDescent="0.25">
      <c r="A193" s="25" t="s">
        <v>506</v>
      </c>
      <c r="B193" s="26">
        <v>20</v>
      </c>
      <c r="C193" s="161" t="s">
        <v>555</v>
      </c>
      <c r="D193" s="177" t="s">
        <v>555</v>
      </c>
      <c r="E193" s="161" t="s">
        <v>556</v>
      </c>
      <c r="F193" s="161" t="s">
        <v>557</v>
      </c>
      <c r="G193" s="177" t="s">
        <v>557</v>
      </c>
      <c r="H193" s="161" t="s">
        <v>20</v>
      </c>
      <c r="I193" s="106">
        <v>2000</v>
      </c>
      <c r="J193" s="161" t="s">
        <v>20</v>
      </c>
      <c r="K193" s="106">
        <v>2000</v>
      </c>
      <c r="L193" s="178">
        <v>72</v>
      </c>
      <c r="M193" s="112">
        <v>144000</v>
      </c>
      <c r="N193" s="30"/>
      <c r="O193" s="25" t="s">
        <v>558</v>
      </c>
    </row>
    <row r="194" spans="1:15" ht="41.25" hidden="1" customHeight="1" x14ac:dyDescent="0.25">
      <c r="A194" s="25" t="s">
        <v>506</v>
      </c>
      <c r="B194" s="26">
        <v>21</v>
      </c>
      <c r="C194" s="161" t="s">
        <v>559</v>
      </c>
      <c r="D194" s="177" t="s">
        <v>559</v>
      </c>
      <c r="E194" s="161" t="s">
        <v>560</v>
      </c>
      <c r="F194" s="161" t="s">
        <v>561</v>
      </c>
      <c r="G194" s="177" t="s">
        <v>561</v>
      </c>
      <c r="H194" s="161" t="s">
        <v>20</v>
      </c>
      <c r="I194" s="106">
        <v>4500</v>
      </c>
      <c r="J194" s="161" t="s">
        <v>20</v>
      </c>
      <c r="K194" s="106">
        <v>4500</v>
      </c>
      <c r="L194" s="178">
        <v>25.2</v>
      </c>
      <c r="M194" s="112">
        <v>113400</v>
      </c>
      <c r="N194" s="30"/>
      <c r="O194" s="25" t="s">
        <v>562</v>
      </c>
    </row>
    <row r="195" spans="1:15" ht="41.25" hidden="1" customHeight="1" x14ac:dyDescent="0.25">
      <c r="A195" s="25" t="s">
        <v>506</v>
      </c>
      <c r="B195" s="26">
        <v>22</v>
      </c>
      <c r="C195" s="164" t="s">
        <v>563</v>
      </c>
      <c r="D195" s="166" t="s">
        <v>563</v>
      </c>
      <c r="E195" s="164" t="s">
        <v>564</v>
      </c>
      <c r="F195" s="164" t="s">
        <v>565</v>
      </c>
      <c r="G195" s="166" t="s">
        <v>565</v>
      </c>
      <c r="H195" s="161" t="s">
        <v>20</v>
      </c>
      <c r="I195" s="106">
        <v>100</v>
      </c>
      <c r="J195" s="161" t="s">
        <v>20</v>
      </c>
      <c r="K195" s="106">
        <v>100</v>
      </c>
      <c r="L195" s="112">
        <v>1455</v>
      </c>
      <c r="M195" s="112">
        <v>145500</v>
      </c>
      <c r="N195" s="30"/>
      <c r="O195" s="25" t="s">
        <v>314</v>
      </c>
    </row>
    <row r="196" spans="1:15" ht="41.25" hidden="1" customHeight="1" x14ac:dyDescent="0.25">
      <c r="A196" s="25" t="s">
        <v>506</v>
      </c>
      <c r="B196" s="26">
        <v>23</v>
      </c>
      <c r="C196" s="164" t="s">
        <v>566</v>
      </c>
      <c r="D196" s="166" t="s">
        <v>566</v>
      </c>
      <c r="E196" s="25"/>
      <c r="F196" s="164" t="s">
        <v>567</v>
      </c>
      <c r="G196" s="166" t="s">
        <v>567</v>
      </c>
      <c r="H196" s="161" t="s">
        <v>20</v>
      </c>
      <c r="I196" s="106">
        <v>30</v>
      </c>
      <c r="J196" s="161" t="s">
        <v>20</v>
      </c>
      <c r="K196" s="106">
        <v>30</v>
      </c>
      <c r="L196" s="112">
        <v>1450</v>
      </c>
      <c r="M196" s="112">
        <v>43500</v>
      </c>
      <c r="N196" s="30"/>
      <c r="O196" s="25" t="s">
        <v>314</v>
      </c>
    </row>
    <row r="197" spans="1:15" ht="41.25" hidden="1" customHeight="1" x14ac:dyDescent="0.25">
      <c r="A197" s="25" t="s">
        <v>506</v>
      </c>
      <c r="B197" s="26">
        <v>24</v>
      </c>
      <c r="C197" s="164" t="s">
        <v>568</v>
      </c>
      <c r="D197" s="166" t="s">
        <v>568</v>
      </c>
      <c r="E197" s="25"/>
      <c r="F197" s="164" t="s">
        <v>569</v>
      </c>
      <c r="G197" s="166" t="s">
        <v>569</v>
      </c>
      <c r="H197" s="161" t="s">
        <v>20</v>
      </c>
      <c r="I197" s="106">
        <v>30</v>
      </c>
      <c r="J197" s="161" t="s">
        <v>20</v>
      </c>
      <c r="K197" s="106">
        <v>30</v>
      </c>
      <c r="L197" s="112">
        <v>1300</v>
      </c>
      <c r="M197" s="112">
        <v>39000</v>
      </c>
      <c r="N197" s="30"/>
      <c r="O197" s="25" t="s">
        <v>314</v>
      </c>
    </row>
    <row r="198" spans="1:15" ht="41.25" hidden="1" customHeight="1" x14ac:dyDescent="0.25">
      <c r="A198" s="25" t="s">
        <v>506</v>
      </c>
      <c r="B198" s="26">
        <v>25</v>
      </c>
      <c r="C198" s="164" t="s">
        <v>570</v>
      </c>
      <c r="D198" s="166" t="s">
        <v>570</v>
      </c>
      <c r="E198" s="25"/>
      <c r="F198" s="164" t="s">
        <v>571</v>
      </c>
      <c r="G198" s="166" t="s">
        <v>571</v>
      </c>
      <c r="H198" s="161" t="s">
        <v>20</v>
      </c>
      <c r="I198" s="106">
        <v>10</v>
      </c>
      <c r="J198" s="161" t="s">
        <v>20</v>
      </c>
      <c r="K198" s="106">
        <v>10</v>
      </c>
      <c r="L198" s="112">
        <v>1200</v>
      </c>
      <c r="M198" s="112">
        <v>12000</v>
      </c>
      <c r="N198" s="30"/>
      <c r="O198" s="25" t="s">
        <v>314</v>
      </c>
    </row>
    <row r="199" spans="1:15" ht="41.25" hidden="1" customHeight="1" x14ac:dyDescent="0.25">
      <c r="A199" s="25" t="s">
        <v>572</v>
      </c>
      <c r="B199" s="179">
        <v>1</v>
      </c>
      <c r="C199" s="180" t="s">
        <v>573</v>
      </c>
      <c r="D199" s="181" t="s">
        <v>573</v>
      </c>
      <c r="E199" s="182"/>
      <c r="F199" s="182" t="s">
        <v>574</v>
      </c>
      <c r="G199" s="160" t="s">
        <v>574</v>
      </c>
      <c r="H199" s="166" t="s">
        <v>32</v>
      </c>
      <c r="I199" s="166">
        <v>300</v>
      </c>
      <c r="J199" s="166" t="s">
        <v>32</v>
      </c>
      <c r="K199" s="166">
        <v>300</v>
      </c>
      <c r="L199" s="183">
        <v>244</v>
      </c>
      <c r="M199" s="184">
        <v>73200</v>
      </c>
      <c r="N199" s="30"/>
      <c r="O199" s="25" t="s">
        <v>314</v>
      </c>
    </row>
    <row r="200" spans="1:15" ht="41.25" hidden="1" customHeight="1" x14ac:dyDescent="0.25">
      <c r="A200" s="25" t="s">
        <v>572</v>
      </c>
      <c r="B200" s="179">
        <v>2</v>
      </c>
      <c r="C200" s="180" t="s">
        <v>575</v>
      </c>
      <c r="D200" s="181" t="s">
        <v>575</v>
      </c>
      <c r="E200" s="182"/>
      <c r="F200" s="182" t="s">
        <v>576</v>
      </c>
      <c r="G200" s="186" t="s">
        <v>577</v>
      </c>
      <c r="H200" s="166" t="s">
        <v>32</v>
      </c>
      <c r="I200" s="166">
        <v>600</v>
      </c>
      <c r="J200" s="166" t="s">
        <v>32</v>
      </c>
      <c r="K200" s="166">
        <v>600</v>
      </c>
      <c r="L200" s="107">
        <v>755</v>
      </c>
      <c r="M200" s="184">
        <v>453000</v>
      </c>
      <c r="N200" s="30"/>
      <c r="O200" s="25" t="s">
        <v>314</v>
      </c>
    </row>
    <row r="201" spans="1:15" s="21" customFormat="1" ht="41.25" hidden="1" customHeight="1" x14ac:dyDescent="0.25">
      <c r="A201" s="22" t="s">
        <v>572</v>
      </c>
      <c r="B201" s="205">
        <v>3</v>
      </c>
      <c r="C201" s="287" t="s">
        <v>578</v>
      </c>
      <c r="D201" s="10" t="s">
        <v>578</v>
      </c>
      <c r="E201" s="22"/>
      <c r="F201" s="22"/>
      <c r="G201" s="10" t="s">
        <v>578</v>
      </c>
      <c r="H201" s="172" t="s">
        <v>32</v>
      </c>
      <c r="I201" s="104">
        <v>35000</v>
      </c>
      <c r="J201" s="172" t="s">
        <v>32</v>
      </c>
      <c r="K201" s="104">
        <v>35000</v>
      </c>
      <c r="L201" s="288">
        <v>2.59</v>
      </c>
      <c r="M201" s="289">
        <v>90650</v>
      </c>
      <c r="N201" s="19"/>
      <c r="O201" s="22" t="s">
        <v>314</v>
      </c>
    </row>
    <row r="202" spans="1:15" ht="41.25" hidden="1" customHeight="1" x14ac:dyDescent="0.25">
      <c r="A202" s="25" t="s">
        <v>572</v>
      </c>
      <c r="B202" s="179">
        <v>4</v>
      </c>
      <c r="C202" s="187" t="s">
        <v>579</v>
      </c>
      <c r="D202" s="188" t="s">
        <v>579</v>
      </c>
      <c r="E202" s="182"/>
      <c r="F202" s="189" t="s">
        <v>580</v>
      </c>
      <c r="G202" s="188" t="s">
        <v>580</v>
      </c>
      <c r="H202" s="26" t="s">
        <v>32</v>
      </c>
      <c r="I202" s="166">
        <v>10</v>
      </c>
      <c r="J202" s="26" t="s">
        <v>32</v>
      </c>
      <c r="K202" s="166">
        <v>10</v>
      </c>
      <c r="L202" s="183">
        <v>1000</v>
      </c>
      <c r="M202" s="184">
        <v>10000</v>
      </c>
      <c r="N202" s="30"/>
      <c r="O202" s="25" t="s">
        <v>314</v>
      </c>
    </row>
    <row r="203" spans="1:15" ht="41.25" hidden="1" customHeight="1" x14ac:dyDescent="0.25">
      <c r="A203" s="25" t="s">
        <v>572</v>
      </c>
      <c r="B203" s="179">
        <v>5</v>
      </c>
      <c r="C203" s="187" t="s">
        <v>581</v>
      </c>
      <c r="D203" s="188" t="s">
        <v>581</v>
      </c>
      <c r="E203" s="182"/>
      <c r="F203" s="189" t="s">
        <v>582</v>
      </c>
      <c r="G203" s="188" t="s">
        <v>582</v>
      </c>
      <c r="H203" s="26" t="s">
        <v>32</v>
      </c>
      <c r="I203" s="166">
        <v>10</v>
      </c>
      <c r="J203" s="26" t="s">
        <v>32</v>
      </c>
      <c r="K203" s="166">
        <v>10</v>
      </c>
      <c r="L203" s="183">
        <v>1100</v>
      </c>
      <c r="M203" s="184">
        <v>11000</v>
      </c>
      <c r="N203" s="30"/>
      <c r="O203" s="25" t="s">
        <v>314</v>
      </c>
    </row>
    <row r="204" spans="1:15" ht="41.25" hidden="1" customHeight="1" x14ac:dyDescent="0.25">
      <c r="A204" s="25" t="s">
        <v>572</v>
      </c>
      <c r="B204" s="179">
        <v>6</v>
      </c>
      <c r="C204" s="182" t="s">
        <v>583</v>
      </c>
      <c r="D204" s="160" t="s">
        <v>583</v>
      </c>
      <c r="E204" s="182"/>
      <c r="F204" s="182" t="s">
        <v>584</v>
      </c>
      <c r="G204" s="160" t="s">
        <v>584</v>
      </c>
      <c r="H204" s="166" t="s">
        <v>585</v>
      </c>
      <c r="I204" s="166">
        <v>4</v>
      </c>
      <c r="J204" s="166" t="s">
        <v>585</v>
      </c>
      <c r="K204" s="166">
        <v>4</v>
      </c>
      <c r="L204" s="183">
        <v>7000</v>
      </c>
      <c r="M204" s="184">
        <v>28000</v>
      </c>
      <c r="N204" s="30"/>
      <c r="O204" s="30" t="s">
        <v>314</v>
      </c>
    </row>
    <row r="205" spans="1:15" ht="41.25" hidden="1" customHeight="1" x14ac:dyDescent="0.25">
      <c r="A205" s="25" t="s">
        <v>572</v>
      </c>
      <c r="B205" s="179">
        <v>9</v>
      </c>
      <c r="C205" s="182" t="s">
        <v>586</v>
      </c>
      <c r="D205" s="160" t="s">
        <v>586</v>
      </c>
      <c r="E205" s="182"/>
      <c r="F205" s="182"/>
      <c r="G205" s="186" t="s">
        <v>586</v>
      </c>
      <c r="H205" s="166" t="s">
        <v>32</v>
      </c>
      <c r="I205" s="166">
        <v>400</v>
      </c>
      <c r="J205" s="166" t="s">
        <v>32</v>
      </c>
      <c r="K205" s="166">
        <v>400</v>
      </c>
      <c r="L205" s="107">
        <v>100</v>
      </c>
      <c r="M205" s="184">
        <v>40000</v>
      </c>
      <c r="N205" s="30"/>
      <c r="O205" s="25" t="s">
        <v>250</v>
      </c>
    </row>
    <row r="206" spans="1:15" ht="41.25" hidden="1" customHeight="1" x14ac:dyDescent="0.25">
      <c r="A206" s="25" t="s">
        <v>572</v>
      </c>
      <c r="B206" s="179">
        <v>10</v>
      </c>
      <c r="C206" s="182" t="s">
        <v>587</v>
      </c>
      <c r="D206" s="160" t="s">
        <v>587</v>
      </c>
      <c r="E206" s="25"/>
      <c r="F206" s="25"/>
      <c r="G206" s="186" t="s">
        <v>587</v>
      </c>
      <c r="H206" s="166" t="s">
        <v>32</v>
      </c>
      <c r="I206" s="107">
        <v>200</v>
      </c>
      <c r="J206" s="166" t="s">
        <v>32</v>
      </c>
      <c r="K206" s="107">
        <v>200</v>
      </c>
      <c r="L206" s="107">
        <v>100</v>
      </c>
      <c r="M206" s="184">
        <v>20000</v>
      </c>
      <c r="N206" s="30"/>
      <c r="O206" s="25" t="s">
        <v>250</v>
      </c>
    </row>
    <row r="207" spans="1:15" ht="41.25" hidden="1" customHeight="1" x14ac:dyDescent="0.25">
      <c r="A207" s="25" t="s">
        <v>572</v>
      </c>
      <c r="B207" s="179">
        <v>11</v>
      </c>
      <c r="C207" s="190" t="s">
        <v>588</v>
      </c>
      <c r="D207" s="92" t="s">
        <v>588</v>
      </c>
      <c r="E207" s="25"/>
      <c r="F207" s="25"/>
      <c r="G207" s="95" t="s">
        <v>588</v>
      </c>
      <c r="H207" s="26" t="s">
        <v>494</v>
      </c>
      <c r="I207" s="107">
        <v>400</v>
      </c>
      <c r="J207" s="26" t="s">
        <v>494</v>
      </c>
      <c r="K207" s="107">
        <v>400</v>
      </c>
      <c r="L207" s="107">
        <v>50</v>
      </c>
      <c r="M207" s="184">
        <v>20000</v>
      </c>
      <c r="N207" s="30"/>
      <c r="O207" s="25" t="s">
        <v>314</v>
      </c>
    </row>
    <row r="208" spans="1:15" ht="41.25" hidden="1" customHeight="1" x14ac:dyDescent="0.25">
      <c r="A208" s="25" t="s">
        <v>589</v>
      </c>
      <c r="B208" s="179">
        <v>2</v>
      </c>
      <c r="C208" s="191" t="s">
        <v>590</v>
      </c>
      <c r="D208" s="154" t="s">
        <v>590</v>
      </c>
      <c r="E208" s="185"/>
      <c r="F208" s="182" t="s">
        <v>591</v>
      </c>
      <c r="G208" s="160" t="s">
        <v>591</v>
      </c>
      <c r="H208" s="166" t="s">
        <v>153</v>
      </c>
      <c r="I208" s="166">
        <v>1</v>
      </c>
      <c r="J208" s="166" t="s">
        <v>153</v>
      </c>
      <c r="K208" s="166">
        <v>1</v>
      </c>
      <c r="L208" s="34">
        <v>1380</v>
      </c>
      <c r="M208" s="184">
        <v>1380</v>
      </c>
      <c r="N208" s="30"/>
      <c r="O208" s="25" t="s">
        <v>250</v>
      </c>
    </row>
    <row r="209" spans="1:16" ht="41.25" hidden="1" customHeight="1" x14ac:dyDescent="0.25">
      <c r="A209" s="25" t="s">
        <v>592</v>
      </c>
      <c r="B209" s="26"/>
      <c r="C209" s="81" t="s">
        <v>593</v>
      </c>
      <c r="D209" s="151" t="s">
        <v>593</v>
      </c>
      <c r="E209" s="81"/>
      <c r="F209" s="81"/>
      <c r="G209" s="15" t="s">
        <v>593</v>
      </c>
      <c r="H209" s="192" t="s">
        <v>32</v>
      </c>
      <c r="I209" s="192">
        <v>1</v>
      </c>
      <c r="J209" s="192" t="s">
        <v>32</v>
      </c>
      <c r="K209" s="192">
        <v>1</v>
      </c>
      <c r="L209" s="141">
        <v>200</v>
      </c>
      <c r="M209" s="18">
        <f t="shared" ref="M209:M228" si="4">L209*K209</f>
        <v>200</v>
      </c>
      <c r="N209" s="30"/>
      <c r="O209" s="25" t="s">
        <v>359</v>
      </c>
    </row>
    <row r="210" spans="1:16" ht="41.25" hidden="1" customHeight="1" x14ac:dyDescent="0.25">
      <c r="A210" s="25" t="s">
        <v>592</v>
      </c>
      <c r="B210" s="26"/>
      <c r="C210" s="148" t="s">
        <v>594</v>
      </c>
      <c r="D210" s="139" t="s">
        <v>594</v>
      </c>
      <c r="E210" s="81"/>
      <c r="F210" s="148" t="s">
        <v>594</v>
      </c>
      <c r="G210" s="139" t="s">
        <v>594</v>
      </c>
      <c r="H210" s="192" t="s">
        <v>32</v>
      </c>
      <c r="I210" s="192">
        <v>1</v>
      </c>
      <c r="J210" s="192" t="s">
        <v>32</v>
      </c>
      <c r="K210" s="192">
        <v>1</v>
      </c>
      <c r="L210" s="141">
        <v>200</v>
      </c>
      <c r="M210" s="18">
        <f t="shared" si="4"/>
        <v>200</v>
      </c>
      <c r="N210" s="30"/>
      <c r="O210" s="25" t="s">
        <v>250</v>
      </c>
    </row>
    <row r="211" spans="1:16" ht="41.25" hidden="1" customHeight="1" x14ac:dyDescent="0.25">
      <c r="A211" s="25" t="s">
        <v>592</v>
      </c>
      <c r="B211" s="26"/>
      <c r="C211" s="151" t="s">
        <v>595</v>
      </c>
      <c r="D211" s="15" t="s">
        <v>596</v>
      </c>
      <c r="E211" s="81"/>
      <c r="F211" s="151" t="s">
        <v>597</v>
      </c>
      <c r="G211" s="15" t="s">
        <v>598</v>
      </c>
      <c r="H211" s="192" t="s">
        <v>164</v>
      </c>
      <c r="I211" s="192">
        <v>2</v>
      </c>
      <c r="J211" s="192" t="s">
        <v>164</v>
      </c>
      <c r="K211" s="192">
        <v>2</v>
      </c>
      <c r="L211" s="141">
        <v>630</v>
      </c>
      <c r="M211" s="194">
        <f t="shared" si="4"/>
        <v>1260</v>
      </c>
      <c r="N211" s="30"/>
      <c r="O211" s="25" t="s">
        <v>250</v>
      </c>
    </row>
    <row r="212" spans="1:16" ht="41.25" hidden="1" customHeight="1" x14ac:dyDescent="0.25">
      <c r="A212" s="25" t="s">
        <v>592</v>
      </c>
      <c r="B212" s="26"/>
      <c r="C212" s="81" t="s">
        <v>599</v>
      </c>
      <c r="D212" s="151" t="s">
        <v>599</v>
      </c>
      <c r="E212" s="81"/>
      <c r="F212" s="81" t="s">
        <v>600</v>
      </c>
      <c r="G212" s="15" t="s">
        <v>755</v>
      </c>
      <c r="H212" s="192" t="s">
        <v>157</v>
      </c>
      <c r="I212" s="192">
        <v>50</v>
      </c>
      <c r="J212" s="192" t="s">
        <v>157</v>
      </c>
      <c r="K212" s="192">
        <v>25</v>
      </c>
      <c r="L212" s="291">
        <v>1258</v>
      </c>
      <c r="M212" s="18">
        <f t="shared" si="4"/>
        <v>31450</v>
      </c>
      <c r="N212" s="30"/>
      <c r="O212" s="25" t="s">
        <v>314</v>
      </c>
      <c r="P212" s="31" t="s">
        <v>744</v>
      </c>
    </row>
    <row r="213" spans="1:16" ht="41.25" hidden="1" customHeight="1" x14ac:dyDescent="0.25">
      <c r="A213" s="25" t="s">
        <v>592</v>
      </c>
      <c r="B213" s="26"/>
      <c r="C213" s="81" t="s">
        <v>601</v>
      </c>
      <c r="D213" s="151" t="s">
        <v>601</v>
      </c>
      <c r="E213" s="81"/>
      <c r="F213" s="151" t="s">
        <v>602</v>
      </c>
      <c r="G213" s="15" t="s">
        <v>603</v>
      </c>
      <c r="H213" s="192" t="s">
        <v>164</v>
      </c>
      <c r="I213" s="192">
        <v>1500</v>
      </c>
      <c r="J213" s="192" t="s">
        <v>164</v>
      </c>
      <c r="K213" s="192">
        <v>1500</v>
      </c>
      <c r="L213" s="141">
        <v>45.15</v>
      </c>
      <c r="M213" s="194">
        <f t="shared" si="4"/>
        <v>67725</v>
      </c>
      <c r="N213" s="30"/>
      <c r="O213" s="25" t="s">
        <v>314</v>
      </c>
    </row>
    <row r="214" spans="1:16" ht="41.25" hidden="1" customHeight="1" x14ac:dyDescent="0.25">
      <c r="A214" s="25" t="s">
        <v>592</v>
      </c>
      <c r="B214" s="26"/>
      <c r="C214" s="81" t="s">
        <v>604</v>
      </c>
      <c r="D214" s="151" t="s">
        <v>604</v>
      </c>
      <c r="E214" s="81"/>
      <c r="F214" s="81"/>
      <c r="G214" s="151" t="s">
        <v>604</v>
      </c>
      <c r="H214" s="192" t="s">
        <v>32</v>
      </c>
      <c r="I214" s="195">
        <v>6</v>
      </c>
      <c r="J214" s="192" t="s">
        <v>32</v>
      </c>
      <c r="K214" s="195">
        <v>6</v>
      </c>
      <c r="L214" s="292">
        <v>150</v>
      </c>
      <c r="M214" s="18">
        <f t="shared" si="4"/>
        <v>900</v>
      </c>
      <c r="N214" s="30"/>
      <c r="O214" s="25" t="s">
        <v>605</v>
      </c>
      <c r="P214" s="31" t="s">
        <v>745</v>
      </c>
    </row>
    <row r="215" spans="1:16" ht="41.25" hidden="1" customHeight="1" x14ac:dyDescent="0.25">
      <c r="A215" s="25" t="s">
        <v>592</v>
      </c>
      <c r="B215" s="26"/>
      <c r="C215" s="24" t="s">
        <v>606</v>
      </c>
      <c r="D215" s="11" t="s">
        <v>606</v>
      </c>
      <c r="E215" s="81"/>
      <c r="F215" s="81"/>
      <c r="G215" s="15" t="s">
        <v>607</v>
      </c>
      <c r="H215" s="192" t="s">
        <v>608</v>
      </c>
      <c r="I215" s="195">
        <v>10</v>
      </c>
      <c r="J215" s="192" t="s">
        <v>608</v>
      </c>
      <c r="K215" s="195">
        <v>10</v>
      </c>
      <c r="L215" s="141">
        <v>25</v>
      </c>
      <c r="M215" s="18">
        <f t="shared" si="4"/>
        <v>250</v>
      </c>
      <c r="N215" s="30"/>
      <c r="O215" s="25" t="s">
        <v>314</v>
      </c>
    </row>
    <row r="216" spans="1:16" s="21" customFormat="1" ht="41.25" hidden="1" customHeight="1" x14ac:dyDescent="0.25">
      <c r="A216" s="22" t="s">
        <v>592</v>
      </c>
      <c r="B216" s="172"/>
      <c r="C216" s="11" t="s">
        <v>609</v>
      </c>
      <c r="D216" s="11" t="s">
        <v>609</v>
      </c>
      <c r="E216" s="24"/>
      <c r="F216" s="11" t="s">
        <v>610</v>
      </c>
      <c r="G216" s="11" t="s">
        <v>611</v>
      </c>
      <c r="H216" s="16" t="s">
        <v>164</v>
      </c>
      <c r="I216" s="16">
        <v>8000</v>
      </c>
      <c r="J216" s="16" t="s">
        <v>164</v>
      </c>
      <c r="K216" s="16">
        <v>8000</v>
      </c>
      <c r="L216" s="292">
        <v>1</v>
      </c>
      <c r="M216" s="18">
        <f t="shared" si="4"/>
        <v>8000</v>
      </c>
      <c r="N216" s="19"/>
      <c r="O216" s="22" t="s">
        <v>314</v>
      </c>
      <c r="P216" s="31" t="s">
        <v>744</v>
      </c>
    </row>
    <row r="217" spans="1:16" s="21" customFormat="1" ht="41.25" hidden="1" customHeight="1" x14ac:dyDescent="0.25">
      <c r="A217" s="22" t="s">
        <v>592</v>
      </c>
      <c r="B217" s="172"/>
      <c r="C217" s="24" t="s">
        <v>612</v>
      </c>
      <c r="D217" s="15" t="s">
        <v>747</v>
      </c>
      <c r="E217" s="24"/>
      <c r="F217" s="24" t="s">
        <v>613</v>
      </c>
      <c r="G217" s="15" t="s">
        <v>746</v>
      </c>
      <c r="H217" s="16" t="s">
        <v>32</v>
      </c>
      <c r="I217" s="16">
        <v>25</v>
      </c>
      <c r="J217" s="16" t="s">
        <v>32</v>
      </c>
      <c r="K217" s="16">
        <v>25</v>
      </c>
      <c r="L217" s="17">
        <v>16</v>
      </c>
      <c r="M217" s="18">
        <f t="shared" si="4"/>
        <v>400</v>
      </c>
      <c r="N217" s="19"/>
      <c r="O217" s="22" t="s">
        <v>314</v>
      </c>
      <c r="P217" s="294"/>
    </row>
    <row r="218" spans="1:16" s="21" customFormat="1" ht="41.25" hidden="1" customHeight="1" x14ac:dyDescent="0.25">
      <c r="A218" s="22" t="s">
        <v>592</v>
      </c>
      <c r="B218" s="172"/>
      <c r="C218" s="24" t="s">
        <v>614</v>
      </c>
      <c r="D218" s="143" t="s">
        <v>748</v>
      </c>
      <c r="E218" s="24"/>
      <c r="F218" s="24"/>
      <c r="G218" s="143" t="s">
        <v>749</v>
      </c>
      <c r="H218" s="16"/>
      <c r="I218" s="295">
        <v>2190</v>
      </c>
      <c r="J218" s="48" t="s">
        <v>32</v>
      </c>
      <c r="K218" s="293">
        <v>3000</v>
      </c>
      <c r="L218" s="296">
        <v>0.12</v>
      </c>
      <c r="M218" s="18">
        <f t="shared" si="4"/>
        <v>360</v>
      </c>
      <c r="N218" s="19"/>
      <c r="O218" s="22" t="s">
        <v>314</v>
      </c>
      <c r="P218" s="21" t="s">
        <v>750</v>
      </c>
    </row>
    <row r="219" spans="1:16" ht="41.25" hidden="1" customHeight="1" x14ac:dyDescent="0.25">
      <c r="A219" s="25" t="s">
        <v>592</v>
      </c>
      <c r="B219" s="26"/>
      <c r="C219" s="81" t="s">
        <v>615</v>
      </c>
      <c r="D219" s="15" t="s">
        <v>751</v>
      </c>
      <c r="E219" s="81" t="s">
        <v>616</v>
      </c>
      <c r="F219" s="198" t="s">
        <v>616</v>
      </c>
      <c r="G219" s="15" t="s">
        <v>751</v>
      </c>
      <c r="H219" s="192" t="s">
        <v>617</v>
      </c>
      <c r="I219" s="195">
        <v>20</v>
      </c>
      <c r="J219" s="48" t="s">
        <v>32</v>
      </c>
      <c r="K219" s="195">
        <v>20</v>
      </c>
      <c r="L219" s="194">
        <v>130</v>
      </c>
      <c r="M219" s="194">
        <f t="shared" si="4"/>
        <v>2600</v>
      </c>
      <c r="N219" s="30"/>
      <c r="O219" s="25" t="s">
        <v>359</v>
      </c>
    </row>
    <row r="220" spans="1:16" ht="41.25" hidden="1" customHeight="1" x14ac:dyDescent="0.25">
      <c r="A220" s="25" t="s">
        <v>592</v>
      </c>
      <c r="B220" s="26"/>
      <c r="C220" s="81" t="s">
        <v>615</v>
      </c>
      <c r="D220" s="151" t="s">
        <v>615</v>
      </c>
      <c r="E220" s="81" t="s">
        <v>618</v>
      </c>
      <c r="F220" s="81" t="s">
        <v>618</v>
      </c>
      <c r="G220" s="151" t="s">
        <v>618</v>
      </c>
      <c r="H220" s="192" t="s">
        <v>32</v>
      </c>
      <c r="I220" s="195">
        <v>10</v>
      </c>
      <c r="J220" s="192" t="s">
        <v>32</v>
      </c>
      <c r="K220" s="195">
        <v>10</v>
      </c>
      <c r="L220" s="141">
        <v>114.51</v>
      </c>
      <c r="M220" s="194">
        <f t="shared" si="4"/>
        <v>1145.1000000000001</v>
      </c>
      <c r="N220" s="30"/>
      <c r="O220" s="25" t="s">
        <v>359</v>
      </c>
    </row>
    <row r="221" spans="1:16" s="21" customFormat="1" ht="41.25" hidden="1" customHeight="1" x14ac:dyDescent="0.25">
      <c r="A221" s="22" t="s">
        <v>592</v>
      </c>
      <c r="B221" s="172"/>
      <c r="C221" s="24" t="s">
        <v>619</v>
      </c>
      <c r="D221" s="15" t="s">
        <v>753</v>
      </c>
      <c r="E221" s="24"/>
      <c r="F221" s="24" t="s">
        <v>620</v>
      </c>
      <c r="G221" s="15" t="s">
        <v>753</v>
      </c>
      <c r="H221" s="16" t="s">
        <v>32</v>
      </c>
      <c r="I221" s="16">
        <v>1700</v>
      </c>
      <c r="J221" s="16" t="s">
        <v>32</v>
      </c>
      <c r="K221" s="16">
        <v>1700</v>
      </c>
      <c r="L221" s="17">
        <v>1.59</v>
      </c>
      <c r="M221" s="18">
        <f t="shared" si="4"/>
        <v>2703</v>
      </c>
      <c r="N221" s="19"/>
      <c r="O221" s="22" t="s">
        <v>314</v>
      </c>
      <c r="P221" s="21" t="s">
        <v>752</v>
      </c>
    </row>
    <row r="222" spans="1:16" ht="41.25" hidden="1" customHeight="1" x14ac:dyDescent="0.25">
      <c r="A222" s="25" t="s">
        <v>592</v>
      </c>
      <c r="B222" s="26"/>
      <c r="C222" s="81" t="s">
        <v>621</v>
      </c>
      <c r="D222" s="15" t="s">
        <v>622</v>
      </c>
      <c r="E222" s="81"/>
      <c r="F222" s="200" t="s">
        <v>623</v>
      </c>
      <c r="G222" s="116" t="s">
        <v>624</v>
      </c>
      <c r="H222" s="192" t="s">
        <v>32</v>
      </c>
      <c r="I222" s="192">
        <v>10</v>
      </c>
      <c r="J222" s="192" t="s">
        <v>32</v>
      </c>
      <c r="K222" s="192">
        <v>10</v>
      </c>
      <c r="L222" s="17">
        <v>128</v>
      </c>
      <c r="M222" s="18">
        <f t="shared" si="4"/>
        <v>1280</v>
      </c>
      <c r="N222" s="30"/>
      <c r="O222" s="25" t="s">
        <v>250</v>
      </c>
    </row>
    <row r="223" spans="1:16" ht="41.25" hidden="1" customHeight="1" x14ac:dyDescent="0.25">
      <c r="A223" s="25" t="s">
        <v>592</v>
      </c>
      <c r="B223" s="26"/>
      <c r="C223" s="81" t="s">
        <v>625</v>
      </c>
      <c r="D223" s="15" t="s">
        <v>626</v>
      </c>
      <c r="E223" s="81"/>
      <c r="F223" s="200" t="s">
        <v>627</v>
      </c>
      <c r="G223" s="116" t="s">
        <v>628</v>
      </c>
      <c r="H223" s="192" t="s">
        <v>32</v>
      </c>
      <c r="I223" s="192">
        <v>10</v>
      </c>
      <c r="J223" s="192" t="s">
        <v>32</v>
      </c>
      <c r="K223" s="192">
        <v>10</v>
      </c>
      <c r="L223" s="17">
        <v>200</v>
      </c>
      <c r="M223" s="18">
        <f t="shared" si="4"/>
        <v>2000</v>
      </c>
      <c r="N223" s="30"/>
      <c r="O223" s="25" t="s">
        <v>250</v>
      </c>
    </row>
    <row r="224" spans="1:16" ht="41.25" hidden="1" customHeight="1" x14ac:dyDescent="0.25">
      <c r="A224" s="25" t="s">
        <v>592</v>
      </c>
      <c r="B224" s="26"/>
      <c r="C224" s="81" t="s">
        <v>629</v>
      </c>
      <c r="D224" s="15" t="s">
        <v>630</v>
      </c>
      <c r="E224" s="81"/>
      <c r="F224" s="200" t="s">
        <v>631</v>
      </c>
      <c r="G224" s="116" t="s">
        <v>632</v>
      </c>
      <c r="H224" s="192" t="s">
        <v>32</v>
      </c>
      <c r="I224" s="192">
        <v>10</v>
      </c>
      <c r="J224" s="192" t="s">
        <v>32</v>
      </c>
      <c r="K224" s="192">
        <v>10</v>
      </c>
      <c r="L224" s="17">
        <v>538</v>
      </c>
      <c r="M224" s="18">
        <f t="shared" si="4"/>
        <v>5380</v>
      </c>
      <c r="N224" s="30"/>
      <c r="O224" s="25" t="s">
        <v>250</v>
      </c>
    </row>
    <row r="225" spans="1:16" ht="41.25" hidden="1" customHeight="1" x14ac:dyDescent="0.25">
      <c r="A225" s="25" t="s">
        <v>592</v>
      </c>
      <c r="B225" s="26"/>
      <c r="C225" s="148" t="s">
        <v>633</v>
      </c>
      <c r="D225" s="139" t="s">
        <v>633</v>
      </c>
      <c r="E225" s="81"/>
      <c r="F225" s="81"/>
      <c r="G225" s="95" t="s">
        <v>633</v>
      </c>
      <c r="H225" s="192" t="s">
        <v>32</v>
      </c>
      <c r="I225" s="192">
        <v>1</v>
      </c>
      <c r="J225" s="192" t="s">
        <v>32</v>
      </c>
      <c r="K225" s="192">
        <v>1</v>
      </c>
      <c r="L225" s="17">
        <v>900</v>
      </c>
      <c r="M225" s="18">
        <f t="shared" si="4"/>
        <v>900</v>
      </c>
      <c r="N225" s="30"/>
      <c r="O225" s="25" t="s">
        <v>79</v>
      </c>
    </row>
    <row r="226" spans="1:16" ht="41.25" hidden="1" customHeight="1" x14ac:dyDescent="0.25">
      <c r="A226" s="25" t="s">
        <v>592</v>
      </c>
      <c r="B226" s="26"/>
      <c r="C226" s="81" t="s">
        <v>634</v>
      </c>
      <c r="D226" s="15" t="s">
        <v>635</v>
      </c>
      <c r="E226" s="81"/>
      <c r="F226" s="81" t="s">
        <v>636</v>
      </c>
      <c r="G226" s="15" t="s">
        <v>635</v>
      </c>
      <c r="H226" s="192" t="s">
        <v>32</v>
      </c>
      <c r="I226" s="195">
        <v>100</v>
      </c>
      <c r="J226" s="192" t="s">
        <v>32</v>
      </c>
      <c r="K226" s="195">
        <v>100</v>
      </c>
      <c r="L226" s="17">
        <v>3.16</v>
      </c>
      <c r="M226" s="18">
        <f t="shared" si="4"/>
        <v>316</v>
      </c>
      <c r="N226" s="30"/>
      <c r="O226" s="25" t="s">
        <v>637</v>
      </c>
    </row>
    <row r="227" spans="1:16" ht="41.25" hidden="1" customHeight="1" x14ac:dyDescent="0.25">
      <c r="A227" s="25" t="s">
        <v>592</v>
      </c>
      <c r="B227" s="26"/>
      <c r="C227" s="81" t="s">
        <v>638</v>
      </c>
      <c r="D227" s="15" t="s">
        <v>639</v>
      </c>
      <c r="E227" s="81"/>
      <c r="F227" s="81" t="s">
        <v>640</v>
      </c>
      <c r="G227" s="15" t="s">
        <v>641</v>
      </c>
      <c r="H227" s="192" t="s">
        <v>157</v>
      </c>
      <c r="I227" s="195">
        <v>2</v>
      </c>
      <c r="J227" s="192" t="s">
        <v>157</v>
      </c>
      <c r="K227" s="195">
        <v>2</v>
      </c>
      <c r="L227" s="17">
        <v>550</v>
      </c>
      <c r="M227" s="18">
        <f t="shared" si="4"/>
        <v>1100</v>
      </c>
      <c r="N227" s="30"/>
      <c r="O227" s="25" t="s">
        <v>250</v>
      </c>
      <c r="P227" s="380"/>
    </row>
    <row r="228" spans="1:16" ht="41.25" hidden="1" customHeight="1" x14ac:dyDescent="0.25">
      <c r="A228" s="25" t="s">
        <v>592</v>
      </c>
      <c r="B228" s="26"/>
      <c r="C228" s="201" t="s">
        <v>642</v>
      </c>
      <c r="D228" s="192" t="s">
        <v>642</v>
      </c>
      <c r="E228" s="81"/>
      <c r="F228" s="81" t="s">
        <v>643</v>
      </c>
      <c r="G228" s="151" t="s">
        <v>754</v>
      </c>
      <c r="H228" s="192" t="s">
        <v>157</v>
      </c>
      <c r="I228" s="195">
        <v>1</v>
      </c>
      <c r="J228" s="192" t="s">
        <v>157</v>
      </c>
      <c r="K228" s="195">
        <v>1</v>
      </c>
      <c r="L228" s="17">
        <v>681</v>
      </c>
      <c r="M228" s="18">
        <f t="shared" si="4"/>
        <v>681</v>
      </c>
      <c r="N228" s="30"/>
      <c r="O228" s="25" t="s">
        <v>250</v>
      </c>
      <c r="P228" s="380"/>
    </row>
    <row r="229" spans="1:16" ht="41.25" hidden="1" customHeight="1" x14ac:dyDescent="0.25">
      <c r="A229" s="25" t="s">
        <v>592</v>
      </c>
      <c r="B229" s="26"/>
      <c r="C229" s="81" t="s">
        <v>644</v>
      </c>
      <c r="D229" s="151" t="s">
        <v>644</v>
      </c>
      <c r="E229" s="81"/>
      <c r="F229" s="24"/>
      <c r="G229" s="15" t="s">
        <v>644</v>
      </c>
      <c r="H229" s="192" t="s">
        <v>32</v>
      </c>
      <c r="I229" s="192">
        <v>2</v>
      </c>
      <c r="J229" s="192" t="s">
        <v>32</v>
      </c>
      <c r="K229" s="192">
        <v>2</v>
      </c>
      <c r="L229" s="196"/>
      <c r="M229" s="193">
        <v>150</v>
      </c>
      <c r="N229" s="30"/>
      <c r="O229" s="30" t="s">
        <v>250</v>
      </c>
      <c r="P229" s="197" t="s">
        <v>756</v>
      </c>
    </row>
    <row r="230" spans="1:16" ht="41.25" hidden="1" customHeight="1" x14ac:dyDescent="0.25">
      <c r="A230" s="25" t="s">
        <v>645</v>
      </c>
      <c r="B230" s="179">
        <v>1</v>
      </c>
      <c r="C230" s="182" t="s">
        <v>646</v>
      </c>
      <c r="D230" s="160" t="s">
        <v>646</v>
      </c>
      <c r="E230" s="182"/>
      <c r="F230" s="182" t="s">
        <v>647</v>
      </c>
      <c r="G230" s="160" t="s">
        <v>647</v>
      </c>
      <c r="H230" s="166" t="s">
        <v>32</v>
      </c>
      <c r="I230" s="166">
        <v>20</v>
      </c>
      <c r="J230" s="166" t="s">
        <v>32</v>
      </c>
      <c r="K230" s="166">
        <v>20</v>
      </c>
      <c r="L230" s="203">
        <v>250</v>
      </c>
      <c r="M230" s="203">
        <v>5000</v>
      </c>
      <c r="N230" s="30" t="s">
        <v>648</v>
      </c>
      <c r="O230" s="25" t="s">
        <v>359</v>
      </c>
    </row>
    <row r="231" spans="1:16" ht="41.25" hidden="1" customHeight="1" x14ac:dyDescent="0.25">
      <c r="A231" s="25" t="s">
        <v>645</v>
      </c>
      <c r="B231" s="179">
        <v>2</v>
      </c>
      <c r="C231" s="182" t="s">
        <v>646</v>
      </c>
      <c r="D231" s="160" t="s">
        <v>646</v>
      </c>
      <c r="E231" s="182"/>
      <c r="F231" s="182" t="s">
        <v>649</v>
      </c>
      <c r="G231" s="160" t="s">
        <v>649</v>
      </c>
      <c r="H231" s="166" t="s">
        <v>32</v>
      </c>
      <c r="I231" s="166">
        <v>10</v>
      </c>
      <c r="J231" s="166" t="s">
        <v>32</v>
      </c>
      <c r="K231" s="166">
        <v>10</v>
      </c>
      <c r="L231" s="34">
        <v>200</v>
      </c>
      <c r="M231" s="203">
        <v>2000</v>
      </c>
      <c r="N231" s="30"/>
      <c r="O231" s="25" t="s">
        <v>359</v>
      </c>
    </row>
    <row r="232" spans="1:16" s="21" customFormat="1" ht="41.25" hidden="1" customHeight="1" x14ac:dyDescent="0.25">
      <c r="A232" s="22" t="s">
        <v>645</v>
      </c>
      <c r="B232" s="205">
        <v>3</v>
      </c>
      <c r="C232" s="206" t="s">
        <v>650</v>
      </c>
      <c r="D232" s="290" t="s">
        <v>650</v>
      </c>
      <c r="E232" s="206"/>
      <c r="F232" s="206" t="s">
        <v>651</v>
      </c>
      <c r="G232" s="186" t="s">
        <v>650</v>
      </c>
      <c r="H232" s="174" t="s">
        <v>32</v>
      </c>
      <c r="I232" s="174">
        <v>5</v>
      </c>
      <c r="J232" s="174" t="s">
        <v>32</v>
      </c>
      <c r="K232" s="174">
        <v>5</v>
      </c>
      <c r="L232" s="207">
        <v>300</v>
      </c>
      <c r="M232" s="207">
        <v>1500</v>
      </c>
      <c r="N232" s="19"/>
      <c r="O232" s="22" t="s">
        <v>359</v>
      </c>
    </row>
    <row r="233" spans="1:16" ht="41.25" hidden="1" customHeight="1" x14ac:dyDescent="0.25">
      <c r="A233" s="25" t="s">
        <v>645</v>
      </c>
      <c r="B233" s="179">
        <v>4</v>
      </c>
      <c r="C233" s="182" t="s">
        <v>652</v>
      </c>
      <c r="D233" s="160" t="s">
        <v>652</v>
      </c>
      <c r="E233" s="182"/>
      <c r="F233" s="182" t="s">
        <v>653</v>
      </c>
      <c r="G233" s="186" t="s">
        <v>654</v>
      </c>
      <c r="H233" s="166" t="s">
        <v>32</v>
      </c>
      <c r="I233" s="166">
        <v>200</v>
      </c>
      <c r="J233" s="166" t="s">
        <v>32</v>
      </c>
      <c r="K233" s="166">
        <v>200</v>
      </c>
      <c r="L233" s="34">
        <v>8</v>
      </c>
      <c r="M233" s="203">
        <v>1600</v>
      </c>
      <c r="N233" s="30"/>
      <c r="O233" s="25" t="s">
        <v>314</v>
      </c>
    </row>
    <row r="234" spans="1:16" s="21" customFormat="1" ht="41.25" hidden="1" customHeight="1" x14ac:dyDescent="0.25">
      <c r="A234" s="22" t="s">
        <v>655</v>
      </c>
      <c r="B234" s="205">
        <v>5</v>
      </c>
      <c r="C234" s="206" t="s">
        <v>656</v>
      </c>
      <c r="D234" s="15" t="s">
        <v>29</v>
      </c>
      <c r="E234" s="182"/>
      <c r="F234" s="206" t="s">
        <v>656</v>
      </c>
      <c r="G234" s="186" t="s">
        <v>657</v>
      </c>
      <c r="H234" s="174" t="s">
        <v>32</v>
      </c>
      <c r="I234" s="174">
        <v>400</v>
      </c>
      <c r="J234" s="174" t="s">
        <v>32</v>
      </c>
      <c r="K234" s="174">
        <v>400</v>
      </c>
      <c r="L234" s="17">
        <v>4</v>
      </c>
      <c r="M234" s="207">
        <v>1600</v>
      </c>
      <c r="N234" s="30"/>
      <c r="O234" s="22" t="s">
        <v>314</v>
      </c>
    </row>
    <row r="235" spans="1:16" ht="41.25" hidden="1" customHeight="1" x14ac:dyDescent="0.25">
      <c r="A235" s="25" t="s">
        <v>658</v>
      </c>
      <c r="B235" s="179">
        <v>1</v>
      </c>
      <c r="C235" s="182" t="s">
        <v>659</v>
      </c>
      <c r="D235" s="160" t="s">
        <v>659</v>
      </c>
      <c r="E235" s="182"/>
      <c r="F235" s="182" t="s">
        <v>660</v>
      </c>
      <c r="G235" s="160" t="s">
        <v>660</v>
      </c>
      <c r="H235" s="166" t="s">
        <v>661</v>
      </c>
      <c r="I235" s="166">
        <v>1</v>
      </c>
      <c r="J235" s="166" t="s">
        <v>661</v>
      </c>
      <c r="K235" s="166">
        <v>1</v>
      </c>
      <c r="L235" s="183">
        <v>20000</v>
      </c>
      <c r="M235" s="203">
        <v>20000</v>
      </c>
      <c r="N235" s="30"/>
      <c r="O235" s="25" t="s">
        <v>359</v>
      </c>
    </row>
    <row r="236" spans="1:16" ht="41.25" hidden="1" customHeight="1" x14ac:dyDescent="0.25">
      <c r="A236" s="25" t="s">
        <v>658</v>
      </c>
      <c r="B236" s="179">
        <v>2</v>
      </c>
      <c r="C236" s="182" t="s">
        <v>662</v>
      </c>
      <c r="D236" s="160" t="s">
        <v>662</v>
      </c>
      <c r="E236" s="182"/>
      <c r="F236" s="182" t="s">
        <v>663</v>
      </c>
      <c r="G236" s="160" t="s">
        <v>663</v>
      </c>
      <c r="H236" s="166" t="s">
        <v>661</v>
      </c>
      <c r="I236" s="166">
        <v>1</v>
      </c>
      <c r="J236" s="166" t="s">
        <v>661</v>
      </c>
      <c r="K236" s="166">
        <v>1</v>
      </c>
      <c r="L236" s="107">
        <v>13000</v>
      </c>
      <c r="M236" s="203">
        <v>13000</v>
      </c>
      <c r="N236" s="30"/>
      <c r="O236" s="25" t="s">
        <v>359</v>
      </c>
    </row>
    <row r="237" spans="1:16" ht="41.25" hidden="1" customHeight="1" x14ac:dyDescent="0.25">
      <c r="A237" s="25" t="s">
        <v>658</v>
      </c>
      <c r="B237" s="179">
        <v>3</v>
      </c>
      <c r="C237" s="182" t="s">
        <v>664</v>
      </c>
      <c r="D237" s="160" t="s">
        <v>664</v>
      </c>
      <c r="E237" s="182"/>
      <c r="F237" s="182" t="s">
        <v>665</v>
      </c>
      <c r="G237" s="160" t="s">
        <v>665</v>
      </c>
      <c r="H237" s="166" t="s">
        <v>661</v>
      </c>
      <c r="I237" s="166">
        <v>1</v>
      </c>
      <c r="J237" s="166" t="s">
        <v>661</v>
      </c>
      <c r="K237" s="166">
        <v>1</v>
      </c>
      <c r="L237" s="183">
        <v>20000</v>
      </c>
      <c r="M237" s="203">
        <v>20000</v>
      </c>
      <c r="N237" s="30"/>
      <c r="O237" s="25" t="s">
        <v>359</v>
      </c>
    </row>
    <row r="238" spans="1:16" ht="41.25" hidden="1" customHeight="1" x14ac:dyDescent="0.25">
      <c r="A238" s="25" t="s">
        <v>658</v>
      </c>
      <c r="B238" s="179">
        <v>4</v>
      </c>
      <c r="C238" s="182" t="s">
        <v>664</v>
      </c>
      <c r="D238" s="160" t="s">
        <v>664</v>
      </c>
      <c r="E238" s="182"/>
      <c r="F238" s="182" t="s">
        <v>666</v>
      </c>
      <c r="G238" s="160" t="s">
        <v>666</v>
      </c>
      <c r="H238" s="166" t="s">
        <v>661</v>
      </c>
      <c r="I238" s="166">
        <v>1</v>
      </c>
      <c r="J238" s="166" t="s">
        <v>661</v>
      </c>
      <c r="K238" s="166">
        <v>1</v>
      </c>
      <c r="L238" s="107">
        <v>19000</v>
      </c>
      <c r="M238" s="203">
        <v>19000</v>
      </c>
      <c r="N238" s="30"/>
      <c r="O238" s="25" t="s">
        <v>359</v>
      </c>
    </row>
    <row r="239" spans="1:16" ht="41.25" hidden="1" customHeight="1" x14ac:dyDescent="0.25">
      <c r="A239" s="25" t="s">
        <v>658</v>
      </c>
      <c r="B239" s="179">
        <v>5</v>
      </c>
      <c r="C239" s="182" t="s">
        <v>664</v>
      </c>
      <c r="D239" s="160" t="s">
        <v>664</v>
      </c>
      <c r="E239" s="182"/>
      <c r="F239" s="182" t="s">
        <v>667</v>
      </c>
      <c r="G239" s="160" t="s">
        <v>667</v>
      </c>
      <c r="H239" s="166" t="s">
        <v>661</v>
      </c>
      <c r="I239" s="166">
        <v>1</v>
      </c>
      <c r="J239" s="166" t="s">
        <v>661</v>
      </c>
      <c r="K239" s="166">
        <v>1</v>
      </c>
      <c r="L239" s="107">
        <v>15000</v>
      </c>
      <c r="M239" s="203">
        <v>15000</v>
      </c>
      <c r="N239" s="30"/>
      <c r="O239" s="25" t="s">
        <v>359</v>
      </c>
    </row>
    <row r="240" spans="1:16" ht="41.25" hidden="1" customHeight="1" x14ac:dyDescent="0.25">
      <c r="A240" s="25" t="s">
        <v>658</v>
      </c>
      <c r="B240" s="179">
        <v>6</v>
      </c>
      <c r="C240" s="182" t="s">
        <v>664</v>
      </c>
      <c r="D240" s="160" t="s">
        <v>664</v>
      </c>
      <c r="E240" s="182"/>
      <c r="F240" s="182" t="s">
        <v>668</v>
      </c>
      <c r="G240" s="160" t="s">
        <v>668</v>
      </c>
      <c r="H240" s="166" t="s">
        <v>661</v>
      </c>
      <c r="I240" s="166">
        <v>1</v>
      </c>
      <c r="J240" s="166" t="s">
        <v>661</v>
      </c>
      <c r="K240" s="166">
        <v>1</v>
      </c>
      <c r="L240" s="107">
        <v>15000</v>
      </c>
      <c r="M240" s="203">
        <v>15000</v>
      </c>
      <c r="N240" s="30"/>
      <c r="O240" s="25" t="s">
        <v>359</v>
      </c>
    </row>
    <row r="241" spans="1:16" ht="41.25" hidden="1" customHeight="1" x14ac:dyDescent="0.25">
      <c r="A241" s="25" t="s">
        <v>658</v>
      </c>
      <c r="B241" s="179">
        <v>7</v>
      </c>
      <c r="C241" s="182" t="s">
        <v>664</v>
      </c>
      <c r="D241" s="160" t="s">
        <v>664</v>
      </c>
      <c r="E241" s="182"/>
      <c r="F241" s="182" t="s">
        <v>669</v>
      </c>
      <c r="G241" s="160" t="s">
        <v>669</v>
      </c>
      <c r="H241" s="166" t="s">
        <v>661</v>
      </c>
      <c r="I241" s="166">
        <v>1</v>
      </c>
      <c r="J241" s="166" t="s">
        <v>661</v>
      </c>
      <c r="K241" s="166">
        <v>1</v>
      </c>
      <c r="L241" s="183">
        <v>15000</v>
      </c>
      <c r="M241" s="203">
        <v>15000</v>
      </c>
      <c r="N241" s="30"/>
      <c r="O241" s="25" t="s">
        <v>359</v>
      </c>
    </row>
    <row r="242" spans="1:16" ht="41.25" hidden="1" customHeight="1" x14ac:dyDescent="0.25">
      <c r="A242" s="25" t="s">
        <v>658</v>
      </c>
      <c r="B242" s="179">
        <v>8</v>
      </c>
      <c r="C242" s="182" t="s">
        <v>670</v>
      </c>
      <c r="D242" s="160" t="s">
        <v>670</v>
      </c>
      <c r="E242" s="182"/>
      <c r="F242" s="182" t="s">
        <v>670</v>
      </c>
      <c r="G242" s="160" t="s">
        <v>670</v>
      </c>
      <c r="H242" s="166" t="s">
        <v>671</v>
      </c>
      <c r="I242" s="166">
        <v>5</v>
      </c>
      <c r="J242" s="166" t="s">
        <v>671</v>
      </c>
      <c r="K242" s="166">
        <v>5</v>
      </c>
      <c r="L242" s="107">
        <v>450</v>
      </c>
      <c r="M242" s="203">
        <v>450</v>
      </c>
      <c r="N242" s="30"/>
      <c r="O242" s="25" t="s">
        <v>359</v>
      </c>
    </row>
    <row r="243" spans="1:16" ht="41.25" hidden="1" customHeight="1" x14ac:dyDescent="0.25">
      <c r="A243" s="25" t="s">
        <v>658</v>
      </c>
      <c r="B243" s="179">
        <v>9</v>
      </c>
      <c r="C243" s="182" t="s">
        <v>672</v>
      </c>
      <c r="D243" s="186" t="s">
        <v>673</v>
      </c>
      <c r="E243" s="182"/>
      <c r="F243" s="182" t="s">
        <v>674</v>
      </c>
      <c r="G243" s="160" t="s">
        <v>674</v>
      </c>
      <c r="H243" s="166" t="s">
        <v>671</v>
      </c>
      <c r="I243" s="166">
        <v>2</v>
      </c>
      <c r="J243" s="166" t="s">
        <v>671</v>
      </c>
      <c r="K243" s="166">
        <v>2</v>
      </c>
      <c r="L243" s="183">
        <v>1000</v>
      </c>
      <c r="M243" s="203">
        <v>1000</v>
      </c>
      <c r="N243" s="30"/>
      <c r="O243" s="25" t="s">
        <v>359</v>
      </c>
    </row>
    <row r="244" spans="1:16" ht="41.25" hidden="1" customHeight="1" x14ac:dyDescent="0.25">
      <c r="A244" s="25" t="s">
        <v>658</v>
      </c>
      <c r="B244" s="179">
        <v>10</v>
      </c>
      <c r="C244" s="182" t="s">
        <v>675</v>
      </c>
      <c r="D244" s="160" t="s">
        <v>675</v>
      </c>
      <c r="E244" s="182"/>
      <c r="F244" s="182" t="s">
        <v>675</v>
      </c>
      <c r="G244" s="160" t="s">
        <v>675</v>
      </c>
      <c r="H244" s="166" t="s">
        <v>671</v>
      </c>
      <c r="I244" s="166">
        <v>1</v>
      </c>
      <c r="J244" s="166" t="s">
        <v>671</v>
      </c>
      <c r="K244" s="166">
        <v>1</v>
      </c>
      <c r="L244" s="107">
        <v>3000</v>
      </c>
      <c r="M244" s="203">
        <v>3000</v>
      </c>
      <c r="N244" s="30"/>
      <c r="O244" s="25" t="s">
        <v>359</v>
      </c>
    </row>
    <row r="245" spans="1:16" ht="41.25" hidden="1" customHeight="1" x14ac:dyDescent="0.25">
      <c r="A245" s="25" t="s">
        <v>658</v>
      </c>
      <c r="B245" s="179">
        <v>11</v>
      </c>
      <c r="C245" s="182" t="s">
        <v>676</v>
      </c>
      <c r="D245" s="160" t="s">
        <v>676</v>
      </c>
      <c r="E245" s="182"/>
      <c r="F245" s="182" t="s">
        <v>677</v>
      </c>
      <c r="G245" s="160" t="s">
        <v>677</v>
      </c>
      <c r="H245" s="166" t="s">
        <v>671</v>
      </c>
      <c r="I245" s="166">
        <v>1</v>
      </c>
      <c r="J245" s="166" t="s">
        <v>671</v>
      </c>
      <c r="K245" s="166">
        <v>1</v>
      </c>
      <c r="L245" s="107">
        <v>3500</v>
      </c>
      <c r="M245" s="203">
        <v>3500</v>
      </c>
      <c r="N245" s="30"/>
      <c r="O245" s="25" t="s">
        <v>359</v>
      </c>
    </row>
    <row r="246" spans="1:16" ht="41.25" hidden="1" customHeight="1" x14ac:dyDescent="0.25">
      <c r="A246" s="25" t="s">
        <v>658</v>
      </c>
      <c r="B246" s="179">
        <v>12</v>
      </c>
      <c r="C246" s="182" t="s">
        <v>678</v>
      </c>
      <c r="D246" s="160" t="s">
        <v>678</v>
      </c>
      <c r="E246" s="182"/>
      <c r="F246" s="182" t="s">
        <v>677</v>
      </c>
      <c r="G246" s="160" t="s">
        <v>677</v>
      </c>
      <c r="H246" s="166" t="s">
        <v>671</v>
      </c>
      <c r="I246" s="166">
        <v>1</v>
      </c>
      <c r="J246" s="166" t="s">
        <v>671</v>
      </c>
      <c r="K246" s="166">
        <v>1</v>
      </c>
      <c r="L246" s="107">
        <v>3500</v>
      </c>
      <c r="M246" s="203">
        <v>3500</v>
      </c>
      <c r="N246" s="30"/>
      <c r="O246" s="25" t="s">
        <v>359</v>
      </c>
    </row>
    <row r="247" spans="1:16" ht="41.25" hidden="1" customHeight="1" x14ac:dyDescent="0.25">
      <c r="A247" s="25" t="s">
        <v>658</v>
      </c>
      <c r="B247" s="179">
        <v>13</v>
      </c>
      <c r="C247" s="182" t="s">
        <v>679</v>
      </c>
      <c r="D247" s="160" t="s">
        <v>679</v>
      </c>
      <c r="E247" s="182"/>
      <c r="F247" s="182" t="s">
        <v>680</v>
      </c>
      <c r="G247" s="160" t="s">
        <v>680</v>
      </c>
      <c r="H247" s="166" t="s">
        <v>671</v>
      </c>
      <c r="I247" s="166">
        <v>1</v>
      </c>
      <c r="J247" s="166" t="s">
        <v>671</v>
      </c>
      <c r="K247" s="166">
        <v>1</v>
      </c>
      <c r="L247" s="183">
        <v>6000</v>
      </c>
      <c r="M247" s="203">
        <v>6000</v>
      </c>
      <c r="N247" s="30"/>
      <c r="O247" s="25" t="s">
        <v>359</v>
      </c>
    </row>
    <row r="248" spans="1:16" ht="41.25" hidden="1" customHeight="1" x14ac:dyDescent="0.25">
      <c r="A248" s="25" t="s">
        <v>658</v>
      </c>
      <c r="B248" s="179">
        <v>14</v>
      </c>
      <c r="C248" s="182" t="s">
        <v>681</v>
      </c>
      <c r="D248" s="160" t="s">
        <v>681</v>
      </c>
      <c r="E248" s="182"/>
      <c r="F248" s="182" t="s">
        <v>682</v>
      </c>
      <c r="G248" s="160" t="s">
        <v>682</v>
      </c>
      <c r="H248" s="166" t="s">
        <v>671</v>
      </c>
      <c r="I248" s="166">
        <v>1</v>
      </c>
      <c r="J248" s="166" t="s">
        <v>671</v>
      </c>
      <c r="K248" s="166">
        <v>1</v>
      </c>
      <c r="L248" s="107">
        <v>5000</v>
      </c>
      <c r="M248" s="203">
        <v>5000</v>
      </c>
      <c r="N248" s="30"/>
      <c r="O248" s="25" t="s">
        <v>359</v>
      </c>
    </row>
    <row r="249" spans="1:16" ht="41.25" hidden="1" customHeight="1" x14ac:dyDescent="0.25">
      <c r="A249" s="25" t="s">
        <v>658</v>
      </c>
      <c r="B249" s="179">
        <v>15</v>
      </c>
      <c r="C249" s="182" t="s">
        <v>683</v>
      </c>
      <c r="D249" s="160" t="s">
        <v>683</v>
      </c>
      <c r="E249" s="182"/>
      <c r="F249" s="182" t="s">
        <v>684</v>
      </c>
      <c r="G249" s="160" t="s">
        <v>684</v>
      </c>
      <c r="H249" s="166" t="s">
        <v>671</v>
      </c>
      <c r="I249" s="166">
        <v>1</v>
      </c>
      <c r="J249" s="166" t="s">
        <v>671</v>
      </c>
      <c r="K249" s="166">
        <v>1</v>
      </c>
      <c r="L249" s="183">
        <v>3500</v>
      </c>
      <c r="M249" s="203">
        <v>3500</v>
      </c>
      <c r="N249" s="30"/>
      <c r="O249" s="25" t="s">
        <v>359</v>
      </c>
    </row>
    <row r="250" spans="1:16" ht="41.25" hidden="1" customHeight="1" x14ac:dyDescent="0.25">
      <c r="A250" s="25" t="s">
        <v>658</v>
      </c>
      <c r="B250" s="179">
        <v>16</v>
      </c>
      <c r="C250" s="182" t="s">
        <v>685</v>
      </c>
      <c r="D250" s="160" t="s">
        <v>685</v>
      </c>
      <c r="E250" s="182"/>
      <c r="F250" s="182" t="s">
        <v>686</v>
      </c>
      <c r="G250" s="160" t="s">
        <v>686</v>
      </c>
      <c r="H250" s="166" t="s">
        <v>661</v>
      </c>
      <c r="I250" s="166">
        <v>1</v>
      </c>
      <c r="J250" s="166" t="s">
        <v>661</v>
      </c>
      <c r="K250" s="166">
        <v>1</v>
      </c>
      <c r="L250" s="107">
        <v>80000</v>
      </c>
      <c r="M250" s="203">
        <v>80000</v>
      </c>
      <c r="N250" s="30"/>
      <c r="O250" s="25" t="s">
        <v>359</v>
      </c>
    </row>
    <row r="251" spans="1:16" s="21" customFormat="1" ht="41.25" hidden="1" customHeight="1" x14ac:dyDescent="0.25">
      <c r="A251" s="22" t="s">
        <v>687</v>
      </c>
      <c r="B251" s="205">
        <v>1</v>
      </c>
      <c r="C251" s="206" t="s">
        <v>688</v>
      </c>
      <c r="D251" s="15" t="s">
        <v>689</v>
      </c>
      <c r="E251" s="182"/>
      <c r="F251" s="206" t="s">
        <v>690</v>
      </c>
      <c r="G251" s="186" t="s">
        <v>691</v>
      </c>
      <c r="H251" s="174" t="s">
        <v>157</v>
      </c>
      <c r="I251" s="174">
        <v>200</v>
      </c>
      <c r="J251" s="167" t="s">
        <v>32</v>
      </c>
      <c r="K251" s="167">
        <v>10000</v>
      </c>
      <c r="L251" s="207">
        <v>162</v>
      </c>
      <c r="M251" s="207">
        <v>32400</v>
      </c>
      <c r="N251" s="19" t="s">
        <v>692</v>
      </c>
      <c r="O251" s="22" t="s">
        <v>314</v>
      </c>
    </row>
    <row r="252" spans="1:16" ht="41.25" hidden="1" customHeight="1" x14ac:dyDescent="0.25">
      <c r="A252" s="25" t="s">
        <v>693</v>
      </c>
      <c r="B252" s="208">
        <v>1</v>
      </c>
      <c r="C252" s="209" t="s">
        <v>694</v>
      </c>
      <c r="D252" s="177" t="s">
        <v>694</v>
      </c>
      <c r="E252" s="209" t="s">
        <v>695</v>
      </c>
      <c r="F252" s="209" t="s">
        <v>696</v>
      </c>
      <c r="G252" s="177" t="s">
        <v>696</v>
      </c>
      <c r="H252" s="208" t="s">
        <v>697</v>
      </c>
      <c r="I252" s="208">
        <v>10</v>
      </c>
      <c r="J252" s="208" t="s">
        <v>697</v>
      </c>
      <c r="K252" s="208">
        <v>10</v>
      </c>
      <c r="L252" s="210">
        <v>17.04</v>
      </c>
      <c r="M252" s="203">
        <v>170.39999999999998</v>
      </c>
      <c r="N252" s="30"/>
      <c r="O252" s="25" t="s">
        <v>334</v>
      </c>
    </row>
    <row r="253" spans="1:16" s="199" customFormat="1" ht="41.25" hidden="1" customHeight="1" x14ac:dyDescent="0.25">
      <c r="A253" s="202" t="s">
        <v>698</v>
      </c>
      <c r="B253" s="211"/>
      <c r="C253" s="212" t="s">
        <v>699</v>
      </c>
      <c r="D253" s="213" t="s">
        <v>699</v>
      </c>
      <c r="E253" s="212"/>
      <c r="F253" s="212" t="s">
        <v>700</v>
      </c>
      <c r="G253" s="213" t="s">
        <v>700</v>
      </c>
      <c r="H253" s="214" t="s">
        <v>701</v>
      </c>
      <c r="I253" s="214">
        <v>200</v>
      </c>
      <c r="J253" s="214" t="s">
        <v>701</v>
      </c>
      <c r="K253" s="214">
        <v>200</v>
      </c>
      <c r="L253" s="215">
        <v>220</v>
      </c>
      <c r="M253" s="215">
        <v>44000</v>
      </c>
      <c r="N253" s="216"/>
      <c r="O253" s="202" t="s">
        <v>334</v>
      </c>
      <c r="P253" s="199" t="s">
        <v>702</v>
      </c>
    </row>
    <row r="254" spans="1:16" ht="41.25" customHeight="1" x14ac:dyDescent="0.25">
      <c r="A254" s="25" t="s">
        <v>703</v>
      </c>
      <c r="B254" s="27"/>
      <c r="C254" s="217" t="s">
        <v>704</v>
      </c>
      <c r="D254" s="218" t="s">
        <v>704</v>
      </c>
      <c r="E254" s="219" t="s">
        <v>705</v>
      </c>
      <c r="F254" s="220" t="s">
        <v>706</v>
      </c>
      <c r="G254" s="221" t="s">
        <v>707</v>
      </c>
      <c r="H254" s="28" t="s">
        <v>164</v>
      </c>
      <c r="I254" s="28">
        <v>20</v>
      </c>
      <c r="J254" s="28" t="s">
        <v>164</v>
      </c>
      <c r="K254" s="28">
        <v>20</v>
      </c>
      <c r="L254" s="222">
        <v>300</v>
      </c>
      <c r="M254" s="222">
        <f>L254*K254</f>
        <v>6000</v>
      </c>
      <c r="N254" s="30"/>
      <c r="O254" s="25" t="s">
        <v>250</v>
      </c>
    </row>
    <row r="255" spans="1:16" ht="41.25" hidden="1" customHeight="1" x14ac:dyDescent="0.25">
      <c r="A255" s="25" t="s">
        <v>703</v>
      </c>
      <c r="B255" s="27"/>
      <c r="C255" s="223" t="s">
        <v>708</v>
      </c>
      <c r="D255" s="224" t="s">
        <v>708</v>
      </c>
      <c r="E255" s="32"/>
      <c r="F255" s="223" t="s">
        <v>709</v>
      </c>
      <c r="G255" s="221" t="s">
        <v>710</v>
      </c>
      <c r="H255" s="28" t="s">
        <v>164</v>
      </c>
      <c r="I255" s="28">
        <v>50</v>
      </c>
      <c r="J255" s="28" t="s">
        <v>164</v>
      </c>
      <c r="K255" s="28">
        <v>50</v>
      </c>
      <c r="L255" s="225">
        <v>200</v>
      </c>
      <c r="M255" s="222">
        <f>L255*K255</f>
        <v>10000</v>
      </c>
      <c r="N255" s="30"/>
      <c r="O255" s="25" t="s">
        <v>250</v>
      </c>
    </row>
    <row r="256" spans="1:16" ht="41.25" hidden="1" customHeight="1" x14ac:dyDescent="0.25">
      <c r="A256" s="226" t="s">
        <v>711</v>
      </c>
      <c r="B256" s="227"/>
      <c r="C256" s="228" t="s">
        <v>712</v>
      </c>
      <c r="D256" s="229" t="s">
        <v>712</v>
      </c>
      <c r="E256" s="230"/>
      <c r="F256" s="228" t="s">
        <v>712</v>
      </c>
      <c r="G256" s="229" t="s">
        <v>712</v>
      </c>
      <c r="H256" s="228" t="s">
        <v>32</v>
      </c>
      <c r="I256" s="231">
        <v>2000</v>
      </c>
      <c r="J256" s="228" t="s">
        <v>32</v>
      </c>
      <c r="K256" s="231">
        <v>2000</v>
      </c>
      <c r="L256" s="232">
        <v>6.12</v>
      </c>
      <c r="M256" s="233">
        <v>12240</v>
      </c>
      <c r="N256" s="30"/>
      <c r="O256" s="25" t="s">
        <v>334</v>
      </c>
    </row>
    <row r="257" spans="1:16" ht="41.25" hidden="1" customHeight="1" x14ac:dyDescent="0.25">
      <c r="A257" s="25" t="s">
        <v>713</v>
      </c>
      <c r="B257" s="25" t="s">
        <v>714</v>
      </c>
      <c r="C257" s="25"/>
      <c r="D257" s="204" t="s">
        <v>715</v>
      </c>
      <c r="E257" s="25"/>
      <c r="F257" s="25"/>
      <c r="G257" s="204" t="s">
        <v>716</v>
      </c>
      <c r="H257" s="25"/>
      <c r="I257" s="25"/>
      <c r="J257" s="25" t="s">
        <v>32</v>
      </c>
      <c r="K257" s="25">
        <v>75</v>
      </c>
      <c r="L257" s="25">
        <v>60</v>
      </c>
      <c r="M257" s="222">
        <f>L257*K257</f>
        <v>4500</v>
      </c>
      <c r="N257" s="25"/>
      <c r="O257" s="25" t="s">
        <v>314</v>
      </c>
    </row>
    <row r="258" spans="1:16" ht="41.25" hidden="1" customHeight="1" thickBot="1" x14ac:dyDescent="0.3">
      <c r="A258" s="234" t="s">
        <v>717</v>
      </c>
      <c r="B258" s="235">
        <v>22</v>
      </c>
      <c r="C258" s="236" t="s">
        <v>718</v>
      </c>
      <c r="D258" s="237" t="s">
        <v>719</v>
      </c>
      <c r="E258" s="238" t="s">
        <v>32</v>
      </c>
      <c r="F258" s="239" t="s">
        <v>720</v>
      </c>
      <c r="G258" s="240" t="s">
        <v>719</v>
      </c>
      <c r="H258" s="241">
        <v>10</v>
      </c>
      <c r="I258" s="241">
        <v>18</v>
      </c>
      <c r="J258" s="241">
        <v>10</v>
      </c>
      <c r="K258" s="241">
        <v>18</v>
      </c>
      <c r="L258" s="242">
        <v>180</v>
      </c>
      <c r="M258" s="222">
        <f t="shared" ref="M258:M264" si="5">L258*K258</f>
        <v>3240</v>
      </c>
      <c r="N258" s="243" t="s">
        <v>721</v>
      </c>
      <c r="O258" s="25" t="s">
        <v>314</v>
      </c>
    </row>
    <row r="259" spans="1:16" ht="41.25" hidden="1" customHeight="1" x14ac:dyDescent="0.25">
      <c r="A259" s="385" t="s">
        <v>722</v>
      </c>
      <c r="B259" s="387" t="s">
        <v>723</v>
      </c>
      <c r="C259" s="244" t="s">
        <v>724</v>
      </c>
      <c r="D259" s="381" t="s">
        <v>725</v>
      </c>
      <c r="E259" s="383" t="s">
        <v>726</v>
      </c>
      <c r="F259" s="389" t="s">
        <v>727</v>
      </c>
      <c r="G259" s="381" t="s">
        <v>728</v>
      </c>
      <c r="H259" s="383">
        <v>10</v>
      </c>
      <c r="I259" s="383">
        <v>150</v>
      </c>
      <c r="J259" s="383">
        <v>10</v>
      </c>
      <c r="K259" s="383">
        <v>10</v>
      </c>
      <c r="L259" s="383">
        <v>150</v>
      </c>
      <c r="M259" s="372">
        <f t="shared" si="5"/>
        <v>1500</v>
      </c>
      <c r="N259" s="245" t="s">
        <v>721</v>
      </c>
      <c r="O259" s="246"/>
    </row>
    <row r="260" spans="1:16" ht="41.25" hidden="1" customHeight="1" thickBot="1" x14ac:dyDescent="0.3">
      <c r="A260" s="386"/>
      <c r="B260" s="388"/>
      <c r="C260" s="247" t="s">
        <v>729</v>
      </c>
      <c r="D260" s="382"/>
      <c r="E260" s="384"/>
      <c r="F260" s="390"/>
      <c r="G260" s="382"/>
      <c r="H260" s="384"/>
      <c r="I260" s="384"/>
      <c r="J260" s="384"/>
      <c r="K260" s="384"/>
      <c r="L260" s="384"/>
      <c r="M260" s="373"/>
      <c r="N260" s="248"/>
      <c r="O260" s="25" t="s">
        <v>314</v>
      </c>
    </row>
    <row r="261" spans="1:16" ht="41.25" hidden="1" customHeight="1" thickBot="1" x14ac:dyDescent="0.3">
      <c r="A261" s="249" t="s">
        <v>730</v>
      </c>
      <c r="B261" s="250">
        <v>50</v>
      </c>
      <c r="C261" s="251" t="s">
        <v>731</v>
      </c>
      <c r="D261" s="252" t="s">
        <v>732</v>
      </c>
      <c r="E261" s="253" t="s">
        <v>32</v>
      </c>
      <c r="F261" s="247"/>
      <c r="G261" s="252" t="s">
        <v>732</v>
      </c>
      <c r="H261" s="254">
        <v>90</v>
      </c>
      <c r="I261" s="254">
        <v>14</v>
      </c>
      <c r="J261" s="254">
        <v>90</v>
      </c>
      <c r="K261" s="254">
        <v>14</v>
      </c>
      <c r="L261" s="255">
        <v>1260</v>
      </c>
      <c r="M261" s="222">
        <f t="shared" si="5"/>
        <v>17640</v>
      </c>
      <c r="N261" s="256" t="s">
        <v>721</v>
      </c>
      <c r="O261" s="25" t="s">
        <v>314</v>
      </c>
    </row>
    <row r="262" spans="1:16" ht="41.25" hidden="1" customHeight="1" thickBot="1" x14ac:dyDescent="0.3">
      <c r="A262" s="249" t="s">
        <v>730</v>
      </c>
      <c r="B262" s="250">
        <v>61</v>
      </c>
      <c r="C262" s="251" t="s">
        <v>733</v>
      </c>
      <c r="D262" s="257" t="s">
        <v>734</v>
      </c>
      <c r="E262" s="253" t="s">
        <v>153</v>
      </c>
      <c r="F262" s="247" t="s">
        <v>735</v>
      </c>
      <c r="G262" s="252" t="s">
        <v>735</v>
      </c>
      <c r="H262" s="254">
        <v>4</v>
      </c>
      <c r="I262" s="254">
        <v>540</v>
      </c>
      <c r="J262" s="254">
        <v>4</v>
      </c>
      <c r="K262" s="254">
        <v>540</v>
      </c>
      <c r="L262" s="255">
        <v>2160</v>
      </c>
      <c r="M262" s="222">
        <f t="shared" si="5"/>
        <v>1166400</v>
      </c>
      <c r="N262" s="256" t="s">
        <v>721</v>
      </c>
      <c r="O262" s="25" t="s">
        <v>359</v>
      </c>
    </row>
    <row r="263" spans="1:16" ht="41.25" hidden="1" customHeight="1" x14ac:dyDescent="0.25">
      <c r="A263" s="258" t="s">
        <v>730</v>
      </c>
      <c r="B263" s="259">
        <v>62</v>
      </c>
      <c r="C263" s="260" t="s">
        <v>736</v>
      </c>
      <c r="D263" s="261" t="s">
        <v>737</v>
      </c>
      <c r="E263" s="262" t="s">
        <v>153</v>
      </c>
      <c r="F263" s="263" t="s">
        <v>738</v>
      </c>
      <c r="G263" s="264" t="s">
        <v>737</v>
      </c>
      <c r="H263" s="265">
        <v>4</v>
      </c>
      <c r="I263" s="265">
        <v>120</v>
      </c>
      <c r="J263" s="265">
        <v>4</v>
      </c>
      <c r="K263" s="265">
        <v>120</v>
      </c>
      <c r="L263" s="266">
        <v>480</v>
      </c>
      <c r="M263" s="222">
        <f t="shared" si="5"/>
        <v>57600</v>
      </c>
      <c r="N263" s="267"/>
      <c r="O263" s="25" t="s">
        <v>359</v>
      </c>
    </row>
    <row r="264" spans="1:16" s="199" customFormat="1" ht="41.25" hidden="1" customHeight="1" x14ac:dyDescent="0.25">
      <c r="A264" s="273" t="s">
        <v>739</v>
      </c>
      <c r="B264" s="273"/>
      <c r="C264" s="273" t="s">
        <v>740</v>
      </c>
      <c r="D264" s="273" t="s">
        <v>740</v>
      </c>
      <c r="E264" s="273" t="s">
        <v>740</v>
      </c>
      <c r="F264" s="273" t="s">
        <v>741</v>
      </c>
      <c r="G264" s="273" t="s">
        <v>741</v>
      </c>
      <c r="H264" s="273">
        <v>10</v>
      </c>
      <c r="I264" s="273">
        <v>1000</v>
      </c>
      <c r="J264" s="273" t="s">
        <v>32</v>
      </c>
      <c r="K264" s="273">
        <v>1000</v>
      </c>
      <c r="L264" s="273">
        <v>300</v>
      </c>
      <c r="M264" s="273">
        <f t="shared" si="5"/>
        <v>300000</v>
      </c>
      <c r="N264" s="273"/>
      <c r="O264" s="273" t="s">
        <v>314</v>
      </c>
      <c r="P264" s="273" t="s">
        <v>742</v>
      </c>
    </row>
  </sheetData>
  <autoFilter ref="A1:P264" xr:uid="{00000000-0009-0000-0000-000000000000}">
    <filterColumn colId="3">
      <filters>
        <filter val="Manșeta tensiometru pentru adult obez (pentru masurarea neinvaziva a tensiunii arteriale) 34-51 cm"/>
      </filters>
    </filterColumn>
  </autoFilter>
  <mergeCells count="16">
    <mergeCell ref="A259:A260"/>
    <mergeCell ref="B259:B260"/>
    <mergeCell ref="D259:D260"/>
    <mergeCell ref="E259:E260"/>
    <mergeCell ref="F259:F260"/>
    <mergeCell ref="M259:M260"/>
    <mergeCell ref="D45:D46"/>
    <mergeCell ref="G45:G46"/>
    <mergeCell ref="N45:N46"/>
    <mergeCell ref="P227:P228"/>
    <mergeCell ref="G259:G260"/>
    <mergeCell ref="H259:H260"/>
    <mergeCell ref="I259:I260"/>
    <mergeCell ref="J259:J260"/>
    <mergeCell ref="K259:K260"/>
    <mergeCell ref="L259:L260"/>
  </mergeCells>
  <hyperlinks>
    <hyperlink ref="P112" r:id="rId1" xr:uid="{00000000-0004-0000-0000-000000000000}"/>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T266"/>
  <sheetViews>
    <sheetView tabSelected="1" topLeftCell="C1" zoomScale="85" zoomScaleNormal="85" workbookViewId="0">
      <pane ySplit="1" topLeftCell="A2" activePane="bottomLeft" state="frozen"/>
      <selection pane="bottomLeft" activeCell="E159" sqref="E159"/>
    </sheetView>
  </sheetViews>
  <sheetFormatPr defaultColWidth="9.140625" defaultRowHeight="57" customHeight="1" x14ac:dyDescent="0.25"/>
  <cols>
    <col min="1" max="1" width="35.42578125" style="294" hidden="1" customWidth="1"/>
    <col min="2" max="2" width="8.85546875" style="346" hidden="1" customWidth="1"/>
    <col min="3" max="3" width="8.85546875" style="346" customWidth="1"/>
    <col min="4" max="4" width="23" style="347" hidden="1" customWidth="1"/>
    <col min="5" max="5" width="24.28515625" style="347" customWidth="1"/>
    <col min="6" max="6" width="28.85546875" style="347" customWidth="1"/>
    <col min="7" max="7" width="29.42578125" style="347" customWidth="1"/>
    <col min="8" max="8" width="37" style="347" customWidth="1"/>
    <col min="9" max="9" width="9.5703125" style="348" customWidth="1"/>
    <col min="10" max="10" width="16.140625" style="348" hidden="1" customWidth="1"/>
    <col min="11" max="11" width="16.5703125" style="348" hidden="1" customWidth="1"/>
    <col min="12" max="12" width="14.85546875" style="21" hidden="1" customWidth="1"/>
    <col min="13" max="26" width="9.140625" style="21" hidden="1" customWidth="1"/>
    <col min="27" max="41" width="0" style="21" hidden="1" customWidth="1"/>
    <col min="42" max="42" width="9.140625" style="21"/>
    <col min="43" max="43" width="0" style="21" hidden="1" customWidth="1"/>
    <col min="44" max="44" width="16.28515625" style="21" hidden="1" customWidth="1"/>
    <col min="45" max="45" width="15.7109375" style="21" bestFit="1" customWidth="1"/>
    <col min="46" max="46" width="22.42578125" style="21" customWidth="1"/>
    <col min="47" max="16384" width="9.140625" style="21"/>
  </cols>
  <sheetData>
    <row r="1" spans="1:45" s="309" customFormat="1" ht="57" customHeight="1" x14ac:dyDescent="0.2">
      <c r="A1" s="307" t="s">
        <v>0</v>
      </c>
      <c r="B1" s="307" t="s">
        <v>1</v>
      </c>
      <c r="C1" s="351" t="s">
        <v>758</v>
      </c>
      <c r="D1" s="351" t="s">
        <v>3</v>
      </c>
      <c r="E1" s="2" t="s">
        <v>787</v>
      </c>
      <c r="F1" s="351" t="s">
        <v>765</v>
      </c>
      <c r="G1" s="352" t="s">
        <v>6</v>
      </c>
      <c r="H1" s="4" t="s">
        <v>788</v>
      </c>
      <c r="I1" s="351" t="s">
        <v>9</v>
      </c>
      <c r="J1" s="353" t="s">
        <v>11</v>
      </c>
      <c r="K1" s="354" t="s">
        <v>12</v>
      </c>
      <c r="L1" s="355" t="s">
        <v>16</v>
      </c>
      <c r="M1" s="355" t="s">
        <v>22</v>
      </c>
      <c r="N1" s="355" t="s">
        <v>27</v>
      </c>
      <c r="O1" s="355" t="s">
        <v>33</v>
      </c>
      <c r="P1" s="355" t="s">
        <v>40</v>
      </c>
      <c r="Q1" s="355" t="s">
        <v>54</v>
      </c>
      <c r="R1" s="355" t="s">
        <v>76</v>
      </c>
      <c r="S1" s="355" t="s">
        <v>150</v>
      </c>
      <c r="T1" s="355" t="s">
        <v>160</v>
      </c>
      <c r="U1" s="355" t="s">
        <v>179</v>
      </c>
      <c r="V1" s="355" t="s">
        <v>272</v>
      </c>
      <c r="W1" s="355" t="s">
        <v>308</v>
      </c>
      <c r="X1" s="355" t="s">
        <v>360</v>
      </c>
      <c r="Y1" s="355" t="s">
        <v>452</v>
      </c>
      <c r="Z1" s="355" t="s">
        <v>503</v>
      </c>
      <c r="AA1" s="355" t="s">
        <v>506</v>
      </c>
      <c r="AB1" s="355" t="s">
        <v>572</v>
      </c>
      <c r="AC1" s="355" t="s">
        <v>589</v>
      </c>
      <c r="AD1" s="355" t="s">
        <v>592</v>
      </c>
      <c r="AE1" s="355" t="s">
        <v>645</v>
      </c>
      <c r="AF1" s="355" t="s">
        <v>655</v>
      </c>
      <c r="AG1" s="355" t="s">
        <v>658</v>
      </c>
      <c r="AH1" s="355" t="s">
        <v>687</v>
      </c>
      <c r="AI1" s="355" t="s">
        <v>693</v>
      </c>
      <c r="AJ1" s="355" t="s">
        <v>703</v>
      </c>
      <c r="AK1" s="355" t="s">
        <v>711</v>
      </c>
      <c r="AL1" s="355" t="s">
        <v>713</v>
      </c>
      <c r="AM1" s="356" t="s">
        <v>722</v>
      </c>
      <c r="AN1" s="356" t="s">
        <v>730</v>
      </c>
      <c r="AO1" s="355" t="s">
        <v>698</v>
      </c>
      <c r="AP1" s="357" t="s">
        <v>757</v>
      </c>
      <c r="AQ1" s="358" t="s">
        <v>785</v>
      </c>
      <c r="AS1" s="359" t="s">
        <v>786</v>
      </c>
    </row>
    <row r="2" spans="1:45" ht="45" x14ac:dyDescent="0.25">
      <c r="A2" s="22" t="s">
        <v>76</v>
      </c>
      <c r="B2" s="23">
        <v>10</v>
      </c>
      <c r="C2" s="23">
        <v>1</v>
      </c>
      <c r="D2" s="297" t="s">
        <v>98</v>
      </c>
      <c r="E2" s="297" t="s">
        <v>98</v>
      </c>
      <c r="F2" s="297" t="s">
        <v>98</v>
      </c>
      <c r="G2" s="297" t="s">
        <v>100</v>
      </c>
      <c r="H2" s="297" t="s">
        <v>100</v>
      </c>
      <c r="I2" s="16" t="s">
        <v>20</v>
      </c>
      <c r="J2" s="17">
        <v>1700</v>
      </c>
      <c r="K2" s="18">
        <f>J2*R2</f>
        <v>17000</v>
      </c>
      <c r="L2" s="19"/>
      <c r="M2" s="19"/>
      <c r="N2" s="19"/>
      <c r="O2" s="19"/>
      <c r="P2" s="19"/>
      <c r="Q2" s="19"/>
      <c r="R2" s="16">
        <v>10</v>
      </c>
      <c r="S2" s="19"/>
      <c r="T2" s="19"/>
      <c r="U2" s="19"/>
      <c r="V2" s="19"/>
      <c r="W2" s="19"/>
      <c r="X2" s="19"/>
      <c r="Y2" s="19"/>
      <c r="Z2" s="19"/>
      <c r="AA2" s="19"/>
      <c r="AB2" s="19"/>
      <c r="AC2" s="19"/>
      <c r="AD2" s="19"/>
      <c r="AE2" s="19"/>
      <c r="AF2" s="19"/>
      <c r="AG2" s="19"/>
      <c r="AH2" s="19"/>
      <c r="AI2" s="19"/>
      <c r="AJ2" s="19"/>
      <c r="AK2" s="19"/>
      <c r="AL2" s="19"/>
      <c r="AM2" s="19"/>
      <c r="AN2" s="19"/>
      <c r="AO2" s="19"/>
      <c r="AP2" s="19">
        <f t="shared" ref="AP2:AP65" si="0">SUM(L2:AO2)</f>
        <v>10</v>
      </c>
      <c r="AQ2" s="21">
        <f>AP2*J2</f>
        <v>17000</v>
      </c>
      <c r="AR2" s="19">
        <f>AQ2/1.2</f>
        <v>14166.666666666668</v>
      </c>
      <c r="AS2" s="19">
        <v>14166.67</v>
      </c>
    </row>
    <row r="3" spans="1:45" ht="45" x14ac:dyDescent="0.25">
      <c r="A3" s="22" t="s">
        <v>76</v>
      </c>
      <c r="B3" s="23">
        <v>6</v>
      </c>
      <c r="C3" s="23">
        <v>2</v>
      </c>
      <c r="D3" s="297" t="s">
        <v>88</v>
      </c>
      <c r="E3" s="297" t="s">
        <v>88</v>
      </c>
      <c r="F3" s="297" t="s">
        <v>88</v>
      </c>
      <c r="G3" s="297" t="s">
        <v>89</v>
      </c>
      <c r="H3" s="297" t="s">
        <v>89</v>
      </c>
      <c r="I3" s="16" t="s">
        <v>20</v>
      </c>
      <c r="J3" s="17">
        <v>1500</v>
      </c>
      <c r="K3" s="18">
        <f>J3*R3</f>
        <v>7500</v>
      </c>
      <c r="L3" s="19"/>
      <c r="M3" s="19"/>
      <c r="N3" s="19"/>
      <c r="O3" s="19"/>
      <c r="P3" s="19"/>
      <c r="Q3" s="19"/>
      <c r="R3" s="16">
        <v>5</v>
      </c>
      <c r="S3" s="19"/>
      <c r="T3" s="19"/>
      <c r="U3" s="19"/>
      <c r="V3" s="19"/>
      <c r="W3" s="19"/>
      <c r="X3" s="19"/>
      <c r="Y3" s="19"/>
      <c r="Z3" s="19"/>
      <c r="AA3" s="19"/>
      <c r="AB3" s="19"/>
      <c r="AC3" s="19"/>
      <c r="AD3" s="19"/>
      <c r="AE3" s="19"/>
      <c r="AF3" s="19"/>
      <c r="AG3" s="19"/>
      <c r="AH3" s="19"/>
      <c r="AI3" s="19"/>
      <c r="AJ3" s="19"/>
      <c r="AK3" s="19"/>
      <c r="AL3" s="19"/>
      <c r="AM3" s="19"/>
      <c r="AN3" s="19"/>
      <c r="AO3" s="19"/>
      <c r="AP3" s="19">
        <f t="shared" si="0"/>
        <v>5</v>
      </c>
      <c r="AQ3" s="21">
        <f t="shared" ref="AQ3:AQ66" si="1">AP3*J3</f>
        <v>7500</v>
      </c>
      <c r="AR3" s="19">
        <f t="shared" ref="AR3:AR66" si="2">AQ3/1.2</f>
        <v>6250</v>
      </c>
      <c r="AS3" s="19">
        <v>6250</v>
      </c>
    </row>
    <row r="4" spans="1:45" ht="60" x14ac:dyDescent="0.25">
      <c r="A4" s="22" t="s">
        <v>76</v>
      </c>
      <c r="B4" s="23">
        <v>3</v>
      </c>
      <c r="C4" s="23">
        <v>3</v>
      </c>
      <c r="D4" s="297" t="s">
        <v>82</v>
      </c>
      <c r="E4" s="297" t="s">
        <v>82</v>
      </c>
      <c r="F4" s="297" t="s">
        <v>82</v>
      </c>
      <c r="G4" s="297" t="s">
        <v>83</v>
      </c>
      <c r="H4" s="297" t="s">
        <v>83</v>
      </c>
      <c r="I4" s="16" t="s">
        <v>20</v>
      </c>
      <c r="J4" s="18">
        <v>1200</v>
      </c>
      <c r="K4" s="18">
        <f>J4*R4</f>
        <v>24000</v>
      </c>
      <c r="L4" s="19"/>
      <c r="M4" s="19"/>
      <c r="N4" s="19"/>
      <c r="O4" s="19"/>
      <c r="P4" s="19"/>
      <c r="Q4" s="19"/>
      <c r="R4" s="16">
        <v>20</v>
      </c>
      <c r="S4" s="19"/>
      <c r="T4" s="19"/>
      <c r="U4" s="19"/>
      <c r="V4" s="19"/>
      <c r="W4" s="19"/>
      <c r="X4" s="19"/>
      <c r="Y4" s="19"/>
      <c r="Z4" s="19"/>
      <c r="AA4" s="19"/>
      <c r="AB4" s="19"/>
      <c r="AC4" s="19"/>
      <c r="AD4" s="19"/>
      <c r="AE4" s="19"/>
      <c r="AF4" s="19"/>
      <c r="AG4" s="19"/>
      <c r="AH4" s="19"/>
      <c r="AI4" s="19"/>
      <c r="AJ4" s="19"/>
      <c r="AK4" s="19"/>
      <c r="AL4" s="19"/>
      <c r="AM4" s="19"/>
      <c r="AN4" s="19"/>
      <c r="AO4" s="19"/>
      <c r="AP4" s="19">
        <f t="shared" si="0"/>
        <v>20</v>
      </c>
      <c r="AQ4" s="21">
        <f t="shared" si="1"/>
        <v>24000</v>
      </c>
      <c r="AR4" s="19">
        <f t="shared" si="2"/>
        <v>20000</v>
      </c>
      <c r="AS4" s="19">
        <v>20000</v>
      </c>
    </row>
    <row r="5" spans="1:45" ht="45" x14ac:dyDescent="0.25">
      <c r="A5" s="22" t="s">
        <v>658</v>
      </c>
      <c r="B5" s="205">
        <v>10</v>
      </c>
      <c r="C5" s="23">
        <v>4</v>
      </c>
      <c r="D5" s="302" t="s">
        <v>675</v>
      </c>
      <c r="E5" s="302" t="s">
        <v>675</v>
      </c>
      <c r="F5" s="302" t="s">
        <v>675</v>
      </c>
      <c r="G5" s="302" t="s">
        <v>675</v>
      </c>
      <c r="H5" s="302" t="s">
        <v>675</v>
      </c>
      <c r="I5" s="16" t="s">
        <v>20</v>
      </c>
      <c r="J5" s="104">
        <v>3000</v>
      </c>
      <c r="K5" s="207">
        <v>3000</v>
      </c>
      <c r="L5" s="19"/>
      <c r="M5" s="19"/>
      <c r="N5" s="19"/>
      <c r="O5" s="19"/>
      <c r="P5" s="19"/>
      <c r="Q5" s="19"/>
      <c r="R5" s="19"/>
      <c r="S5" s="19"/>
      <c r="T5" s="19"/>
      <c r="U5" s="19"/>
      <c r="V5" s="19"/>
      <c r="W5" s="19"/>
      <c r="X5" s="19"/>
      <c r="Y5" s="19"/>
      <c r="Z5" s="19"/>
      <c r="AA5" s="19"/>
      <c r="AB5" s="19"/>
      <c r="AC5" s="19"/>
      <c r="AD5" s="19"/>
      <c r="AE5" s="19"/>
      <c r="AF5" s="19"/>
      <c r="AG5" s="174">
        <v>1</v>
      </c>
      <c r="AH5" s="19"/>
      <c r="AI5" s="19"/>
      <c r="AJ5" s="19"/>
      <c r="AK5" s="19"/>
      <c r="AL5" s="19"/>
      <c r="AM5" s="19"/>
      <c r="AN5" s="19"/>
      <c r="AO5" s="19"/>
      <c r="AP5" s="19">
        <f t="shared" si="0"/>
        <v>1</v>
      </c>
      <c r="AQ5" s="21">
        <f t="shared" si="1"/>
        <v>3000</v>
      </c>
      <c r="AR5" s="19">
        <f t="shared" si="2"/>
        <v>2500</v>
      </c>
      <c r="AS5" s="19">
        <v>2500</v>
      </c>
    </row>
    <row r="6" spans="1:45" ht="45" x14ac:dyDescent="0.25">
      <c r="A6" s="22" t="s">
        <v>76</v>
      </c>
      <c r="B6" s="23">
        <v>13</v>
      </c>
      <c r="C6" s="23">
        <v>5</v>
      </c>
      <c r="D6" s="297" t="s">
        <v>107</v>
      </c>
      <c r="E6" s="297" t="s">
        <v>107</v>
      </c>
      <c r="F6" s="297" t="s">
        <v>107</v>
      </c>
      <c r="G6" s="297" t="s">
        <v>108</v>
      </c>
      <c r="H6" s="297" t="s">
        <v>108</v>
      </c>
      <c r="I6" s="16" t="s">
        <v>20</v>
      </c>
      <c r="J6" s="17">
        <v>1800</v>
      </c>
      <c r="K6" s="18">
        <f>J6*R6</f>
        <v>9000</v>
      </c>
      <c r="L6" s="19"/>
      <c r="M6" s="19"/>
      <c r="N6" s="19"/>
      <c r="O6" s="19"/>
      <c r="P6" s="19"/>
      <c r="Q6" s="19"/>
      <c r="R6" s="16">
        <v>5</v>
      </c>
      <c r="S6" s="19"/>
      <c r="T6" s="19"/>
      <c r="U6" s="19"/>
      <c r="V6" s="19"/>
      <c r="W6" s="19"/>
      <c r="X6" s="19"/>
      <c r="Y6" s="19"/>
      <c r="Z6" s="19"/>
      <c r="AA6" s="19"/>
      <c r="AB6" s="19"/>
      <c r="AC6" s="19"/>
      <c r="AD6" s="19"/>
      <c r="AE6" s="19"/>
      <c r="AF6" s="19"/>
      <c r="AG6" s="19"/>
      <c r="AH6" s="19"/>
      <c r="AI6" s="19"/>
      <c r="AJ6" s="19"/>
      <c r="AK6" s="19"/>
      <c r="AL6" s="19"/>
      <c r="AM6" s="19"/>
      <c r="AN6" s="19"/>
      <c r="AO6" s="19"/>
      <c r="AP6" s="19">
        <f t="shared" si="0"/>
        <v>5</v>
      </c>
      <c r="AQ6" s="21">
        <f t="shared" si="1"/>
        <v>9000</v>
      </c>
      <c r="AR6" s="19">
        <f t="shared" si="2"/>
        <v>7500</v>
      </c>
      <c r="AS6" s="19">
        <v>7500</v>
      </c>
    </row>
    <row r="7" spans="1:45" ht="45" x14ac:dyDescent="0.25">
      <c r="A7" s="22" t="s">
        <v>76</v>
      </c>
      <c r="B7" s="23">
        <v>15</v>
      </c>
      <c r="C7" s="23">
        <v>6</v>
      </c>
      <c r="D7" s="297" t="s">
        <v>111</v>
      </c>
      <c r="E7" s="297" t="s">
        <v>111</v>
      </c>
      <c r="F7" s="297" t="s">
        <v>111</v>
      </c>
      <c r="G7" s="297" t="s">
        <v>112</v>
      </c>
      <c r="H7" s="297" t="s">
        <v>112</v>
      </c>
      <c r="I7" s="16" t="s">
        <v>20</v>
      </c>
      <c r="J7" s="17">
        <v>4000</v>
      </c>
      <c r="K7" s="18">
        <f>J7*R7</f>
        <v>100000</v>
      </c>
      <c r="L7" s="19"/>
      <c r="M7" s="19"/>
      <c r="N7" s="19"/>
      <c r="O7" s="19"/>
      <c r="P7" s="19"/>
      <c r="Q7" s="19"/>
      <c r="R7" s="16">
        <v>25</v>
      </c>
      <c r="S7" s="19"/>
      <c r="T7" s="19"/>
      <c r="U7" s="19"/>
      <c r="V7" s="19"/>
      <c r="W7" s="19"/>
      <c r="X7" s="19"/>
      <c r="Y7" s="19"/>
      <c r="Z7" s="19"/>
      <c r="AA7" s="19"/>
      <c r="AB7" s="19"/>
      <c r="AC7" s="19"/>
      <c r="AD7" s="19"/>
      <c r="AE7" s="19"/>
      <c r="AF7" s="19"/>
      <c r="AG7" s="19"/>
      <c r="AH7" s="19"/>
      <c r="AI7" s="19"/>
      <c r="AJ7" s="19"/>
      <c r="AK7" s="19"/>
      <c r="AL7" s="19"/>
      <c r="AM7" s="19"/>
      <c r="AN7" s="19"/>
      <c r="AO7" s="19"/>
      <c r="AP7" s="19">
        <f t="shared" si="0"/>
        <v>25</v>
      </c>
      <c r="AQ7" s="21">
        <f t="shared" si="1"/>
        <v>100000</v>
      </c>
      <c r="AR7" s="19">
        <f t="shared" si="2"/>
        <v>83333.333333333343</v>
      </c>
      <c r="AS7" s="19">
        <v>83333.34</v>
      </c>
    </row>
    <row r="8" spans="1:45" ht="75" x14ac:dyDescent="0.25">
      <c r="A8" s="22" t="s">
        <v>272</v>
      </c>
      <c r="B8" s="11">
        <v>7</v>
      </c>
      <c r="C8" s="23">
        <v>7</v>
      </c>
      <c r="D8" s="12" t="s">
        <v>294</v>
      </c>
      <c r="E8" s="12" t="s">
        <v>294</v>
      </c>
      <c r="F8" s="12" t="s">
        <v>294</v>
      </c>
      <c r="G8" s="12" t="s">
        <v>297</v>
      </c>
      <c r="H8" s="12" t="s">
        <v>297</v>
      </c>
      <c r="I8" s="16" t="s">
        <v>20</v>
      </c>
      <c r="J8" s="11">
        <v>450</v>
      </c>
      <c r="K8" s="11">
        <v>900000</v>
      </c>
      <c r="L8" s="19"/>
      <c r="M8" s="19"/>
      <c r="N8" s="19"/>
      <c r="O8" s="19"/>
      <c r="P8" s="19"/>
      <c r="Q8" s="19"/>
      <c r="R8" s="19"/>
      <c r="S8" s="19"/>
      <c r="T8" s="19"/>
      <c r="U8" s="19"/>
      <c r="V8" s="11">
        <v>2000</v>
      </c>
      <c r="W8" s="19"/>
      <c r="X8" s="19"/>
      <c r="Y8" s="19"/>
      <c r="Z8" s="19"/>
      <c r="AA8" s="19"/>
      <c r="AB8" s="19"/>
      <c r="AC8" s="19"/>
      <c r="AD8" s="19"/>
      <c r="AE8" s="19"/>
      <c r="AF8" s="19"/>
      <c r="AG8" s="19"/>
      <c r="AH8" s="19"/>
      <c r="AI8" s="19"/>
      <c r="AJ8" s="19"/>
      <c r="AK8" s="19"/>
      <c r="AL8" s="19"/>
      <c r="AM8" s="19"/>
      <c r="AN8" s="19"/>
      <c r="AO8" s="19"/>
      <c r="AP8" s="19">
        <f t="shared" si="0"/>
        <v>2000</v>
      </c>
      <c r="AQ8" s="21">
        <f t="shared" si="1"/>
        <v>900000</v>
      </c>
      <c r="AR8" s="19">
        <f t="shared" si="2"/>
        <v>750000</v>
      </c>
      <c r="AS8" s="19">
        <v>750000</v>
      </c>
    </row>
    <row r="9" spans="1:45" ht="60" x14ac:dyDescent="0.25">
      <c r="A9" s="22" t="s">
        <v>452</v>
      </c>
      <c r="B9" s="172"/>
      <c r="C9" s="23">
        <v>8</v>
      </c>
      <c r="D9" s="297" t="s">
        <v>455</v>
      </c>
      <c r="E9" s="297" t="s">
        <v>455</v>
      </c>
      <c r="F9" s="297" t="s">
        <v>455</v>
      </c>
      <c r="G9" s="297" t="s">
        <v>456</v>
      </c>
      <c r="H9" s="297" t="s">
        <v>456</v>
      </c>
      <c r="I9" s="16" t="s">
        <v>20</v>
      </c>
      <c r="J9" s="18">
        <v>360</v>
      </c>
      <c r="K9" s="18">
        <f>J9*Y9</f>
        <v>126000</v>
      </c>
      <c r="L9" s="19"/>
      <c r="M9" s="19"/>
      <c r="N9" s="19"/>
      <c r="O9" s="19"/>
      <c r="P9" s="19"/>
      <c r="Q9" s="19"/>
      <c r="R9" s="19"/>
      <c r="S9" s="19"/>
      <c r="T9" s="19"/>
      <c r="U9" s="19"/>
      <c r="V9" s="19"/>
      <c r="W9" s="19"/>
      <c r="X9" s="19"/>
      <c r="Y9" s="16">
        <v>350</v>
      </c>
      <c r="Z9" s="19"/>
      <c r="AA9" s="19"/>
      <c r="AB9" s="19"/>
      <c r="AC9" s="19"/>
      <c r="AD9" s="19"/>
      <c r="AE9" s="19"/>
      <c r="AF9" s="19"/>
      <c r="AG9" s="19"/>
      <c r="AH9" s="19"/>
      <c r="AI9" s="19"/>
      <c r="AJ9" s="19"/>
      <c r="AK9" s="19"/>
      <c r="AL9" s="19"/>
      <c r="AM9" s="19"/>
      <c r="AN9" s="19"/>
      <c r="AO9" s="19"/>
      <c r="AP9" s="19">
        <f t="shared" si="0"/>
        <v>350</v>
      </c>
      <c r="AQ9" s="21">
        <f t="shared" si="1"/>
        <v>126000</v>
      </c>
      <c r="AR9" s="19">
        <f t="shared" si="2"/>
        <v>105000</v>
      </c>
      <c r="AS9" s="19">
        <v>105000</v>
      </c>
    </row>
    <row r="10" spans="1:45" ht="45" x14ac:dyDescent="0.25">
      <c r="A10" s="22" t="s">
        <v>658</v>
      </c>
      <c r="B10" s="205">
        <v>9</v>
      </c>
      <c r="C10" s="23">
        <v>9</v>
      </c>
      <c r="D10" s="302" t="s">
        <v>673</v>
      </c>
      <c r="E10" s="302" t="s">
        <v>673</v>
      </c>
      <c r="F10" s="302" t="s">
        <v>673</v>
      </c>
      <c r="G10" s="302" t="s">
        <v>674</v>
      </c>
      <c r="H10" s="302" t="s">
        <v>674</v>
      </c>
      <c r="I10" s="16" t="s">
        <v>20</v>
      </c>
      <c r="J10" s="288">
        <v>1000</v>
      </c>
      <c r="K10" s="207">
        <v>1000</v>
      </c>
      <c r="L10" s="19"/>
      <c r="M10" s="19"/>
      <c r="N10" s="19"/>
      <c r="O10" s="19"/>
      <c r="P10" s="19"/>
      <c r="Q10" s="19"/>
      <c r="R10" s="19"/>
      <c r="S10" s="19"/>
      <c r="T10" s="19"/>
      <c r="U10" s="19"/>
      <c r="V10" s="19"/>
      <c r="W10" s="19"/>
      <c r="X10" s="19"/>
      <c r="Y10" s="19"/>
      <c r="Z10" s="19"/>
      <c r="AA10" s="19"/>
      <c r="AB10" s="19"/>
      <c r="AC10" s="19"/>
      <c r="AD10" s="19"/>
      <c r="AE10" s="19"/>
      <c r="AF10" s="19"/>
      <c r="AG10" s="174">
        <v>2</v>
      </c>
      <c r="AH10" s="19"/>
      <c r="AI10" s="19"/>
      <c r="AJ10" s="19"/>
      <c r="AK10" s="19"/>
      <c r="AL10" s="19"/>
      <c r="AM10" s="19"/>
      <c r="AN10" s="19"/>
      <c r="AO10" s="19"/>
      <c r="AP10" s="19">
        <f t="shared" si="0"/>
        <v>2</v>
      </c>
      <c r="AQ10" s="21">
        <f t="shared" si="1"/>
        <v>2000</v>
      </c>
      <c r="AR10" s="19">
        <f t="shared" si="2"/>
        <v>1666.6666666666667</v>
      </c>
      <c r="AS10" s="19">
        <v>1666.67</v>
      </c>
    </row>
    <row r="11" spans="1:45" ht="30" x14ac:dyDescent="0.25">
      <c r="A11" s="22"/>
      <c r="B11" s="172"/>
      <c r="C11" s="23">
        <v>10</v>
      </c>
      <c r="D11" s="297" t="s">
        <v>593</v>
      </c>
      <c r="E11" s="297" t="s">
        <v>593</v>
      </c>
      <c r="F11" s="297" t="s">
        <v>593</v>
      </c>
      <c r="G11" s="297" t="s">
        <v>593</v>
      </c>
      <c r="H11" s="297" t="s">
        <v>593</v>
      </c>
      <c r="I11" s="16" t="s">
        <v>20</v>
      </c>
      <c r="J11" s="17">
        <v>200</v>
      </c>
      <c r="K11" s="18">
        <f>J11*AD11</f>
        <v>200</v>
      </c>
      <c r="L11" s="19"/>
      <c r="M11" s="19"/>
      <c r="N11" s="19"/>
      <c r="O11" s="19"/>
      <c r="P11" s="19"/>
      <c r="Q11" s="19"/>
      <c r="R11" s="19"/>
      <c r="S11" s="19"/>
      <c r="T11" s="19"/>
      <c r="U11" s="19"/>
      <c r="V11" s="19"/>
      <c r="W11" s="19"/>
      <c r="X11" s="19"/>
      <c r="Y11" s="19"/>
      <c r="Z11" s="19"/>
      <c r="AA11" s="19"/>
      <c r="AB11" s="19"/>
      <c r="AC11" s="19"/>
      <c r="AD11" s="16">
        <v>1</v>
      </c>
      <c r="AE11" s="19"/>
      <c r="AF11" s="19"/>
      <c r="AG11" s="19"/>
      <c r="AH11" s="19"/>
      <c r="AI11" s="19"/>
      <c r="AJ11" s="19"/>
      <c r="AK11" s="19"/>
      <c r="AL11" s="19"/>
      <c r="AM11" s="19"/>
      <c r="AN11" s="19"/>
      <c r="AO11" s="19"/>
      <c r="AP11" s="19">
        <f t="shared" si="0"/>
        <v>1</v>
      </c>
      <c r="AQ11" s="21">
        <f t="shared" si="1"/>
        <v>200</v>
      </c>
      <c r="AR11" s="19">
        <f t="shared" si="2"/>
        <v>166.66666666666669</v>
      </c>
      <c r="AS11" s="19">
        <v>166.67</v>
      </c>
    </row>
    <row r="12" spans="1:45" ht="105" x14ac:dyDescent="0.25">
      <c r="A12" s="19"/>
      <c r="B12" s="23">
        <v>1</v>
      </c>
      <c r="C12" s="23">
        <v>11</v>
      </c>
      <c r="D12" s="300" t="s">
        <v>180</v>
      </c>
      <c r="E12" s="300" t="s">
        <v>180</v>
      </c>
      <c r="F12" s="300" t="s">
        <v>180</v>
      </c>
      <c r="G12" s="297" t="s">
        <v>181</v>
      </c>
      <c r="H12" s="297" t="s">
        <v>181</v>
      </c>
      <c r="I12" s="16" t="s">
        <v>20</v>
      </c>
      <c r="J12" s="17">
        <v>200</v>
      </c>
      <c r="K12" s="18">
        <f>J12*U12</f>
        <v>3000</v>
      </c>
      <c r="L12" s="19"/>
      <c r="M12" s="19"/>
      <c r="N12" s="19"/>
      <c r="O12" s="19"/>
      <c r="P12" s="19"/>
      <c r="Q12" s="19"/>
      <c r="R12" s="19"/>
      <c r="S12" s="19"/>
      <c r="T12" s="19"/>
      <c r="U12" s="16">
        <v>15</v>
      </c>
      <c r="V12" s="19"/>
      <c r="W12" s="19"/>
      <c r="X12" s="19"/>
      <c r="Y12" s="19"/>
      <c r="Z12" s="19"/>
      <c r="AA12" s="19"/>
      <c r="AB12" s="19"/>
      <c r="AC12" s="19"/>
      <c r="AD12" s="19"/>
      <c r="AE12" s="19"/>
      <c r="AF12" s="19"/>
      <c r="AG12" s="19"/>
      <c r="AH12" s="19"/>
      <c r="AI12" s="19"/>
      <c r="AJ12" s="19"/>
      <c r="AK12" s="19"/>
      <c r="AL12" s="19"/>
      <c r="AM12" s="19"/>
      <c r="AN12" s="19"/>
      <c r="AO12" s="19"/>
      <c r="AP12" s="19">
        <f t="shared" si="0"/>
        <v>15</v>
      </c>
      <c r="AQ12" s="21">
        <f t="shared" si="1"/>
        <v>3000</v>
      </c>
      <c r="AR12" s="19">
        <f t="shared" si="2"/>
        <v>2500</v>
      </c>
      <c r="AS12" s="19">
        <v>2500</v>
      </c>
    </row>
    <row r="13" spans="1:45" ht="45" x14ac:dyDescent="0.25">
      <c r="A13" s="22" t="s">
        <v>76</v>
      </c>
      <c r="B13" s="23">
        <v>8</v>
      </c>
      <c r="C13" s="23">
        <v>12</v>
      </c>
      <c r="D13" s="297" t="s">
        <v>92</v>
      </c>
      <c r="E13" s="297" t="s">
        <v>92</v>
      </c>
      <c r="F13" s="297" t="s">
        <v>92</v>
      </c>
      <c r="G13" s="297" t="s">
        <v>94</v>
      </c>
      <c r="H13" s="297" t="s">
        <v>94</v>
      </c>
      <c r="I13" s="16" t="s">
        <v>20</v>
      </c>
      <c r="J13" s="17">
        <v>2000</v>
      </c>
      <c r="K13" s="18">
        <f>J13*R13</f>
        <v>20000</v>
      </c>
      <c r="L13" s="19"/>
      <c r="M13" s="19"/>
      <c r="N13" s="19"/>
      <c r="O13" s="19"/>
      <c r="P13" s="19"/>
      <c r="Q13" s="19"/>
      <c r="R13" s="16">
        <v>10</v>
      </c>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f t="shared" si="0"/>
        <v>10</v>
      </c>
      <c r="AQ13" s="21">
        <f t="shared" si="1"/>
        <v>20000</v>
      </c>
      <c r="AR13" s="19">
        <f t="shared" si="2"/>
        <v>16666.666666666668</v>
      </c>
      <c r="AS13" s="19">
        <v>16666.669999999998</v>
      </c>
    </row>
    <row r="14" spans="1:45" ht="60" x14ac:dyDescent="0.25">
      <c r="A14" s="22" t="s">
        <v>76</v>
      </c>
      <c r="B14" s="23">
        <v>18</v>
      </c>
      <c r="C14" s="23">
        <v>13</v>
      </c>
      <c r="D14" s="297" t="s">
        <v>118</v>
      </c>
      <c r="E14" s="297" t="s">
        <v>118</v>
      </c>
      <c r="F14" s="297" t="s">
        <v>118</v>
      </c>
      <c r="G14" s="297" t="s">
        <v>119</v>
      </c>
      <c r="H14" s="297" t="s">
        <v>119</v>
      </c>
      <c r="I14" s="16" t="s">
        <v>20</v>
      </c>
      <c r="J14" s="17">
        <v>4000</v>
      </c>
      <c r="K14" s="18">
        <v>20000</v>
      </c>
      <c r="L14" s="19"/>
      <c r="M14" s="19"/>
      <c r="N14" s="19"/>
      <c r="O14" s="19"/>
      <c r="P14" s="19"/>
      <c r="Q14" s="19"/>
      <c r="R14" s="16">
        <v>5</v>
      </c>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f t="shared" si="0"/>
        <v>5</v>
      </c>
      <c r="AQ14" s="21">
        <f t="shared" si="1"/>
        <v>20000</v>
      </c>
      <c r="AR14" s="19">
        <f t="shared" si="2"/>
        <v>16666.666666666668</v>
      </c>
      <c r="AS14" s="19">
        <v>16666.669999999998</v>
      </c>
    </row>
    <row r="15" spans="1:45" ht="45" x14ac:dyDescent="0.25">
      <c r="A15" s="22" t="s">
        <v>179</v>
      </c>
      <c r="B15" s="23">
        <v>26</v>
      </c>
      <c r="C15" s="23">
        <v>14</v>
      </c>
      <c r="D15" s="297" t="s">
        <v>237</v>
      </c>
      <c r="E15" s="297" t="s">
        <v>237</v>
      </c>
      <c r="F15" s="297" t="s">
        <v>237</v>
      </c>
      <c r="G15" s="297" t="s">
        <v>237</v>
      </c>
      <c r="H15" s="297" t="s">
        <v>237</v>
      </c>
      <c r="I15" s="16" t="s">
        <v>20</v>
      </c>
      <c r="J15" s="17">
        <v>2000</v>
      </c>
      <c r="K15" s="18">
        <f>J15*U15</f>
        <v>20000</v>
      </c>
      <c r="L15" s="19"/>
      <c r="M15" s="19"/>
      <c r="N15" s="19"/>
      <c r="O15" s="19"/>
      <c r="P15" s="19"/>
      <c r="Q15" s="19"/>
      <c r="R15" s="19"/>
      <c r="S15" s="19"/>
      <c r="T15" s="19"/>
      <c r="U15" s="16">
        <v>10</v>
      </c>
      <c r="V15" s="19"/>
      <c r="W15" s="19"/>
      <c r="X15" s="19"/>
      <c r="Y15" s="19"/>
      <c r="Z15" s="19"/>
      <c r="AA15" s="19"/>
      <c r="AB15" s="19"/>
      <c r="AC15" s="19"/>
      <c r="AD15" s="19"/>
      <c r="AE15" s="19"/>
      <c r="AF15" s="19"/>
      <c r="AG15" s="19"/>
      <c r="AH15" s="19"/>
      <c r="AI15" s="19"/>
      <c r="AJ15" s="19"/>
      <c r="AK15" s="19"/>
      <c r="AL15" s="19"/>
      <c r="AM15" s="19"/>
      <c r="AN15" s="19"/>
      <c r="AO15" s="19"/>
      <c r="AP15" s="19">
        <f t="shared" si="0"/>
        <v>10</v>
      </c>
      <c r="AQ15" s="21">
        <f t="shared" si="1"/>
        <v>20000</v>
      </c>
      <c r="AR15" s="19">
        <f t="shared" si="2"/>
        <v>16666.666666666668</v>
      </c>
      <c r="AS15" s="19">
        <v>16666.669999999998</v>
      </c>
    </row>
    <row r="16" spans="1:45" ht="45" x14ac:dyDescent="0.25">
      <c r="A16" s="22" t="s">
        <v>308</v>
      </c>
      <c r="B16" s="43">
        <v>12</v>
      </c>
      <c r="C16" s="23">
        <v>15</v>
      </c>
      <c r="D16" s="282" t="s">
        <v>330</v>
      </c>
      <c r="E16" s="282" t="s">
        <v>330</v>
      </c>
      <c r="F16" s="282" t="s">
        <v>330</v>
      </c>
      <c r="G16" s="275" t="s">
        <v>329</v>
      </c>
      <c r="H16" s="275" t="s">
        <v>329</v>
      </c>
      <c r="I16" s="16" t="s">
        <v>20</v>
      </c>
      <c r="J16" s="276">
        <v>7400</v>
      </c>
      <c r="K16" s="304">
        <v>111000</v>
      </c>
      <c r="L16" s="19"/>
      <c r="M16" s="19"/>
      <c r="N16" s="19"/>
      <c r="O16" s="19"/>
      <c r="P16" s="19"/>
      <c r="Q16" s="19"/>
      <c r="R16" s="19"/>
      <c r="S16" s="19"/>
      <c r="T16" s="19"/>
      <c r="U16" s="19"/>
      <c r="V16" s="19"/>
      <c r="W16" s="276">
        <v>5</v>
      </c>
      <c r="X16" s="19"/>
      <c r="Y16" s="19"/>
      <c r="Z16" s="19"/>
      <c r="AA16" s="19"/>
      <c r="AB16" s="19"/>
      <c r="AC16" s="19"/>
      <c r="AD16" s="19"/>
      <c r="AE16" s="19"/>
      <c r="AF16" s="19"/>
      <c r="AG16" s="19"/>
      <c r="AH16" s="19"/>
      <c r="AI16" s="19"/>
      <c r="AJ16" s="19"/>
      <c r="AK16" s="19"/>
      <c r="AL16" s="19"/>
      <c r="AM16" s="19"/>
      <c r="AN16" s="19"/>
      <c r="AO16" s="19"/>
      <c r="AP16" s="19">
        <f t="shared" si="0"/>
        <v>5</v>
      </c>
      <c r="AQ16" s="21">
        <f t="shared" si="1"/>
        <v>37000</v>
      </c>
      <c r="AR16" s="19">
        <f t="shared" si="2"/>
        <v>30833.333333333336</v>
      </c>
      <c r="AS16" s="19">
        <v>30833.34</v>
      </c>
    </row>
    <row r="17" spans="1:45" ht="45" x14ac:dyDescent="0.25">
      <c r="A17" s="22" t="s">
        <v>308</v>
      </c>
      <c r="B17" s="43">
        <v>11</v>
      </c>
      <c r="C17" s="23">
        <v>16</v>
      </c>
      <c r="D17" s="282" t="s">
        <v>327</v>
      </c>
      <c r="E17" s="282" t="s">
        <v>327</v>
      </c>
      <c r="F17" s="282" t="s">
        <v>327</v>
      </c>
      <c r="G17" s="275" t="s">
        <v>329</v>
      </c>
      <c r="H17" s="275" t="s">
        <v>329</v>
      </c>
      <c r="I17" s="16" t="s">
        <v>20</v>
      </c>
      <c r="J17" s="276">
        <v>7400</v>
      </c>
      <c r="K17" s="304">
        <v>111000</v>
      </c>
      <c r="L17" s="19"/>
      <c r="M17" s="19"/>
      <c r="N17" s="19"/>
      <c r="O17" s="19"/>
      <c r="P17" s="19"/>
      <c r="Q17" s="19"/>
      <c r="R17" s="19"/>
      <c r="S17" s="19"/>
      <c r="T17" s="19"/>
      <c r="U17" s="19"/>
      <c r="V17" s="19"/>
      <c r="W17" s="276">
        <v>15</v>
      </c>
      <c r="X17" s="19"/>
      <c r="Y17" s="19"/>
      <c r="Z17" s="19"/>
      <c r="AA17" s="19"/>
      <c r="AB17" s="19"/>
      <c r="AC17" s="19"/>
      <c r="AD17" s="19"/>
      <c r="AE17" s="19"/>
      <c r="AF17" s="19"/>
      <c r="AG17" s="19"/>
      <c r="AH17" s="19"/>
      <c r="AI17" s="19"/>
      <c r="AJ17" s="19"/>
      <c r="AK17" s="19"/>
      <c r="AL17" s="19"/>
      <c r="AM17" s="19"/>
      <c r="AN17" s="19"/>
      <c r="AO17" s="19"/>
      <c r="AP17" s="19">
        <f t="shared" si="0"/>
        <v>15</v>
      </c>
      <c r="AQ17" s="21">
        <f t="shared" si="1"/>
        <v>111000</v>
      </c>
      <c r="AR17" s="19">
        <f t="shared" si="2"/>
        <v>92500</v>
      </c>
      <c r="AS17" s="19">
        <v>92500</v>
      </c>
    </row>
    <row r="18" spans="1:45" ht="45" x14ac:dyDescent="0.25">
      <c r="A18" s="22" t="s">
        <v>179</v>
      </c>
      <c r="B18" s="23">
        <v>47</v>
      </c>
      <c r="C18" s="23">
        <v>17</v>
      </c>
      <c r="D18" s="12" t="s">
        <v>264</v>
      </c>
      <c r="E18" s="12" t="s">
        <v>264</v>
      </c>
      <c r="F18" s="12" t="s">
        <v>264</v>
      </c>
      <c r="G18" s="12" t="s">
        <v>266</v>
      </c>
      <c r="H18" s="12" t="s">
        <v>266</v>
      </c>
      <c r="I18" s="16" t="s">
        <v>20</v>
      </c>
      <c r="J18" s="17">
        <v>1000</v>
      </c>
      <c r="K18" s="18">
        <f>J18*U18</f>
        <v>18000</v>
      </c>
      <c r="L18" s="19"/>
      <c r="M18" s="19"/>
      <c r="N18" s="19"/>
      <c r="O18" s="19"/>
      <c r="P18" s="19"/>
      <c r="Q18" s="19"/>
      <c r="R18" s="19"/>
      <c r="S18" s="19"/>
      <c r="T18" s="19"/>
      <c r="U18" s="16">
        <v>18</v>
      </c>
      <c r="V18" s="19"/>
      <c r="W18" s="19"/>
      <c r="X18" s="19"/>
      <c r="Y18" s="19"/>
      <c r="Z18" s="19"/>
      <c r="AA18" s="19"/>
      <c r="AB18" s="19"/>
      <c r="AC18" s="19"/>
      <c r="AD18" s="19"/>
      <c r="AE18" s="19"/>
      <c r="AF18" s="19"/>
      <c r="AG18" s="19"/>
      <c r="AH18" s="19"/>
      <c r="AI18" s="19"/>
      <c r="AJ18" s="19"/>
      <c r="AK18" s="19"/>
      <c r="AL18" s="19"/>
      <c r="AM18" s="19"/>
      <c r="AN18" s="19"/>
      <c r="AO18" s="19"/>
      <c r="AP18" s="19">
        <f t="shared" si="0"/>
        <v>18</v>
      </c>
      <c r="AQ18" s="21">
        <f t="shared" si="1"/>
        <v>18000</v>
      </c>
      <c r="AR18" s="19">
        <f t="shared" si="2"/>
        <v>15000</v>
      </c>
      <c r="AS18" s="19">
        <v>15000</v>
      </c>
    </row>
    <row r="19" spans="1:45" ht="45" x14ac:dyDescent="0.25">
      <c r="A19" s="22" t="s">
        <v>592</v>
      </c>
      <c r="B19" s="172"/>
      <c r="C19" s="23">
        <v>18</v>
      </c>
      <c r="D19" s="282" t="s">
        <v>594</v>
      </c>
      <c r="E19" s="282" t="s">
        <v>594</v>
      </c>
      <c r="F19" s="282" t="s">
        <v>594</v>
      </c>
      <c r="G19" s="282" t="s">
        <v>594</v>
      </c>
      <c r="H19" s="282" t="s">
        <v>594</v>
      </c>
      <c r="I19" s="16" t="s">
        <v>20</v>
      </c>
      <c r="J19" s="17">
        <v>200</v>
      </c>
      <c r="K19" s="18">
        <f>J19*AD19</f>
        <v>200</v>
      </c>
      <c r="L19" s="19"/>
      <c r="M19" s="19"/>
      <c r="N19" s="19"/>
      <c r="O19" s="19"/>
      <c r="P19" s="19"/>
      <c r="Q19" s="19"/>
      <c r="R19" s="19"/>
      <c r="S19" s="19"/>
      <c r="T19" s="19"/>
      <c r="U19" s="19"/>
      <c r="V19" s="19"/>
      <c r="W19" s="19"/>
      <c r="X19" s="19"/>
      <c r="Y19" s="19"/>
      <c r="Z19" s="19"/>
      <c r="AA19" s="19"/>
      <c r="AB19" s="19"/>
      <c r="AC19" s="19"/>
      <c r="AD19" s="16">
        <v>1</v>
      </c>
      <c r="AE19" s="19"/>
      <c r="AF19" s="19"/>
      <c r="AG19" s="19"/>
      <c r="AH19" s="19"/>
      <c r="AI19" s="19"/>
      <c r="AJ19" s="19"/>
      <c r="AK19" s="19"/>
      <c r="AL19" s="19"/>
      <c r="AM19" s="19"/>
      <c r="AN19" s="19"/>
      <c r="AO19" s="19"/>
      <c r="AP19" s="19">
        <f t="shared" si="0"/>
        <v>1</v>
      </c>
      <c r="AQ19" s="21">
        <f t="shared" si="1"/>
        <v>200</v>
      </c>
      <c r="AR19" s="19">
        <f t="shared" si="2"/>
        <v>166.66666666666669</v>
      </c>
      <c r="AS19" s="19">
        <v>166.67</v>
      </c>
    </row>
    <row r="20" spans="1:45" ht="60" x14ac:dyDescent="0.25">
      <c r="A20" s="22" t="s">
        <v>76</v>
      </c>
      <c r="B20" s="23">
        <v>17</v>
      </c>
      <c r="C20" s="23">
        <v>19</v>
      </c>
      <c r="D20" s="297" t="s">
        <v>116</v>
      </c>
      <c r="E20" s="297" t="s">
        <v>116</v>
      </c>
      <c r="F20" s="297" t="s">
        <v>116</v>
      </c>
      <c r="G20" s="297" t="s">
        <v>117</v>
      </c>
      <c r="H20" s="297" t="s">
        <v>117</v>
      </c>
      <c r="I20" s="16" t="s">
        <v>20</v>
      </c>
      <c r="J20" s="17">
        <v>1800</v>
      </c>
      <c r="K20" s="18">
        <v>36000</v>
      </c>
      <c r="L20" s="19"/>
      <c r="M20" s="19"/>
      <c r="N20" s="19"/>
      <c r="O20" s="19"/>
      <c r="P20" s="19"/>
      <c r="Q20" s="19"/>
      <c r="R20" s="16">
        <v>20</v>
      </c>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f t="shared" si="0"/>
        <v>20</v>
      </c>
      <c r="AQ20" s="21">
        <f t="shared" si="1"/>
        <v>36000</v>
      </c>
      <c r="AR20" s="19">
        <f t="shared" si="2"/>
        <v>30000</v>
      </c>
      <c r="AS20" s="19">
        <v>30000</v>
      </c>
    </row>
    <row r="21" spans="1:45" ht="45" x14ac:dyDescent="0.25">
      <c r="A21" s="22" t="s">
        <v>76</v>
      </c>
      <c r="B21" s="23">
        <v>30</v>
      </c>
      <c r="C21" s="23">
        <v>20</v>
      </c>
      <c r="D21" s="297" t="s">
        <v>138</v>
      </c>
      <c r="E21" s="297" t="s">
        <v>138</v>
      </c>
      <c r="F21" s="297" t="s">
        <v>138</v>
      </c>
      <c r="G21" s="297" t="s">
        <v>138</v>
      </c>
      <c r="H21" s="297" t="s">
        <v>138</v>
      </c>
      <c r="I21" s="16" t="s">
        <v>20</v>
      </c>
      <c r="J21" s="17">
        <v>2000</v>
      </c>
      <c r="K21" s="18">
        <v>20000</v>
      </c>
      <c r="L21" s="19"/>
      <c r="M21" s="19"/>
      <c r="N21" s="19"/>
      <c r="O21" s="19"/>
      <c r="P21" s="19"/>
      <c r="Q21" s="19"/>
      <c r="R21" s="16">
        <v>10</v>
      </c>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f t="shared" si="0"/>
        <v>10</v>
      </c>
      <c r="AQ21" s="21">
        <f t="shared" si="1"/>
        <v>20000</v>
      </c>
      <c r="AR21" s="19">
        <f t="shared" si="2"/>
        <v>16666.666666666668</v>
      </c>
      <c r="AS21" s="19">
        <v>16666.669999999998</v>
      </c>
    </row>
    <row r="22" spans="1:45" ht="45" x14ac:dyDescent="0.25">
      <c r="A22" s="22" t="s">
        <v>76</v>
      </c>
      <c r="B22" s="23">
        <v>29</v>
      </c>
      <c r="C22" s="23">
        <v>21</v>
      </c>
      <c r="D22" s="297" t="s">
        <v>136</v>
      </c>
      <c r="E22" s="297" t="s">
        <v>136</v>
      </c>
      <c r="F22" s="297" t="s">
        <v>136</v>
      </c>
      <c r="G22" s="297" t="s">
        <v>136</v>
      </c>
      <c r="H22" s="297" t="s">
        <v>136</v>
      </c>
      <c r="I22" s="16" t="s">
        <v>20</v>
      </c>
      <c r="J22" s="17">
        <v>1500</v>
      </c>
      <c r="K22" s="18">
        <v>30000</v>
      </c>
      <c r="L22" s="19"/>
      <c r="M22" s="19"/>
      <c r="N22" s="19"/>
      <c r="O22" s="19"/>
      <c r="P22" s="19"/>
      <c r="Q22" s="19"/>
      <c r="R22" s="16">
        <v>20</v>
      </c>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f t="shared" si="0"/>
        <v>20</v>
      </c>
      <c r="AQ22" s="21">
        <f t="shared" si="1"/>
        <v>30000</v>
      </c>
      <c r="AR22" s="19">
        <f t="shared" si="2"/>
        <v>25000</v>
      </c>
      <c r="AS22" s="19">
        <v>25000</v>
      </c>
    </row>
    <row r="23" spans="1:45" ht="45" x14ac:dyDescent="0.25">
      <c r="A23" s="19"/>
      <c r="B23" s="43">
        <v>1</v>
      </c>
      <c r="C23" s="23">
        <v>22</v>
      </c>
      <c r="D23" s="299" t="s">
        <v>310</v>
      </c>
      <c r="E23" s="299" t="s">
        <v>310</v>
      </c>
      <c r="F23" s="299" t="s">
        <v>310</v>
      </c>
      <c r="G23" s="299" t="s">
        <v>311</v>
      </c>
      <c r="H23" s="299" t="s">
        <v>311</v>
      </c>
      <c r="I23" s="16" t="s">
        <v>20</v>
      </c>
      <c r="J23" s="104">
        <v>250</v>
      </c>
      <c r="K23" s="303">
        <v>1000</v>
      </c>
      <c r="L23" s="19"/>
      <c r="M23" s="19"/>
      <c r="N23" s="19"/>
      <c r="O23" s="19"/>
      <c r="P23" s="19"/>
      <c r="Q23" s="19"/>
      <c r="R23" s="19"/>
      <c r="S23" s="19"/>
      <c r="T23" s="19"/>
      <c r="U23" s="19"/>
      <c r="V23" s="19"/>
      <c r="W23" s="103">
        <v>4</v>
      </c>
      <c r="X23" s="19"/>
      <c r="Y23" s="19"/>
      <c r="Z23" s="19"/>
      <c r="AA23" s="19"/>
      <c r="AB23" s="19"/>
      <c r="AC23" s="19"/>
      <c r="AD23" s="19"/>
      <c r="AE23" s="19"/>
      <c r="AF23" s="19"/>
      <c r="AG23" s="19"/>
      <c r="AH23" s="19"/>
      <c r="AI23" s="19"/>
      <c r="AJ23" s="19"/>
      <c r="AK23" s="19"/>
      <c r="AL23" s="19"/>
      <c r="AM23" s="19"/>
      <c r="AN23" s="19"/>
      <c r="AO23" s="19"/>
      <c r="AP23" s="19">
        <f t="shared" si="0"/>
        <v>4</v>
      </c>
      <c r="AQ23" s="21">
        <f t="shared" si="1"/>
        <v>1000</v>
      </c>
      <c r="AR23" s="19">
        <f t="shared" si="2"/>
        <v>833.33333333333337</v>
      </c>
      <c r="AS23" s="19">
        <v>833.34</v>
      </c>
    </row>
    <row r="24" spans="1:45" ht="60" x14ac:dyDescent="0.25">
      <c r="A24" s="22" t="s">
        <v>179</v>
      </c>
      <c r="B24" s="23">
        <v>45</v>
      </c>
      <c r="C24" s="23">
        <v>23</v>
      </c>
      <c r="D24" s="298" t="s">
        <v>259</v>
      </c>
      <c r="E24" s="298" t="s">
        <v>259</v>
      </c>
      <c r="F24" s="298" t="s">
        <v>259</v>
      </c>
      <c r="G24" s="298" t="s">
        <v>260</v>
      </c>
      <c r="H24" s="298" t="s">
        <v>260</v>
      </c>
      <c r="I24" s="16" t="s">
        <v>20</v>
      </c>
      <c r="J24" s="17">
        <v>500</v>
      </c>
      <c r="K24" s="18">
        <f>J24*U24</f>
        <v>3500</v>
      </c>
      <c r="L24" s="19"/>
      <c r="M24" s="19"/>
      <c r="N24" s="19"/>
      <c r="O24" s="19"/>
      <c r="P24" s="19"/>
      <c r="Q24" s="19"/>
      <c r="R24" s="19"/>
      <c r="S24" s="19"/>
      <c r="T24" s="19"/>
      <c r="U24" s="16">
        <v>7</v>
      </c>
      <c r="V24" s="19"/>
      <c r="W24" s="19"/>
      <c r="X24" s="19"/>
      <c r="Y24" s="19"/>
      <c r="Z24" s="19"/>
      <c r="AA24" s="19"/>
      <c r="AB24" s="19"/>
      <c r="AC24" s="19"/>
      <c r="AD24" s="19"/>
      <c r="AE24" s="19"/>
      <c r="AF24" s="19"/>
      <c r="AG24" s="19"/>
      <c r="AH24" s="19"/>
      <c r="AI24" s="19"/>
      <c r="AJ24" s="19"/>
      <c r="AK24" s="19"/>
      <c r="AL24" s="19"/>
      <c r="AM24" s="19"/>
      <c r="AN24" s="19"/>
      <c r="AO24" s="19"/>
      <c r="AP24" s="19">
        <f t="shared" si="0"/>
        <v>7</v>
      </c>
      <c r="AQ24" s="21">
        <f t="shared" si="1"/>
        <v>3500</v>
      </c>
      <c r="AR24" s="19">
        <f t="shared" si="2"/>
        <v>2916.666666666667</v>
      </c>
      <c r="AS24" s="19">
        <v>2916.67</v>
      </c>
    </row>
    <row r="25" spans="1:45" ht="45" x14ac:dyDescent="0.25">
      <c r="A25" s="22" t="s">
        <v>592</v>
      </c>
      <c r="B25" s="172"/>
      <c r="C25" s="23">
        <v>24</v>
      </c>
      <c r="D25" s="297" t="s">
        <v>596</v>
      </c>
      <c r="E25" s="297" t="s">
        <v>596</v>
      </c>
      <c r="F25" s="297" t="s">
        <v>596</v>
      </c>
      <c r="G25" s="297" t="s">
        <v>598</v>
      </c>
      <c r="H25" s="297" t="s">
        <v>598</v>
      </c>
      <c r="I25" s="16" t="s">
        <v>20</v>
      </c>
      <c r="J25" s="17">
        <v>630</v>
      </c>
      <c r="K25" s="18">
        <f>J25*AD25</f>
        <v>1260</v>
      </c>
      <c r="L25" s="19"/>
      <c r="M25" s="19"/>
      <c r="N25" s="19"/>
      <c r="O25" s="19"/>
      <c r="P25" s="19"/>
      <c r="Q25" s="19"/>
      <c r="R25" s="19"/>
      <c r="S25" s="19"/>
      <c r="T25" s="19"/>
      <c r="U25" s="19"/>
      <c r="V25" s="19"/>
      <c r="W25" s="19"/>
      <c r="X25" s="19"/>
      <c r="Y25" s="19"/>
      <c r="Z25" s="19"/>
      <c r="AA25" s="19"/>
      <c r="AB25" s="19"/>
      <c r="AC25" s="19"/>
      <c r="AD25" s="16">
        <v>2</v>
      </c>
      <c r="AE25" s="19"/>
      <c r="AF25" s="19"/>
      <c r="AG25" s="19"/>
      <c r="AH25" s="19"/>
      <c r="AI25" s="19"/>
      <c r="AJ25" s="19"/>
      <c r="AK25" s="19"/>
      <c r="AL25" s="19"/>
      <c r="AM25" s="19"/>
      <c r="AN25" s="19"/>
      <c r="AO25" s="19"/>
      <c r="AP25" s="19">
        <f t="shared" si="0"/>
        <v>2</v>
      </c>
      <c r="AQ25" s="21">
        <f t="shared" si="1"/>
        <v>1260</v>
      </c>
      <c r="AR25" s="19">
        <f t="shared" si="2"/>
        <v>1050</v>
      </c>
      <c r="AS25" s="19">
        <v>1050</v>
      </c>
    </row>
    <row r="26" spans="1:45" ht="60" x14ac:dyDescent="0.25">
      <c r="A26" s="22" t="s">
        <v>179</v>
      </c>
      <c r="B26" s="23">
        <v>43</v>
      </c>
      <c r="C26" s="23">
        <v>25</v>
      </c>
      <c r="D26" s="298" t="s">
        <v>255</v>
      </c>
      <c r="E26" s="298" t="s">
        <v>255</v>
      </c>
      <c r="F26" s="298" t="s">
        <v>255</v>
      </c>
      <c r="G26" s="298" t="s">
        <v>256</v>
      </c>
      <c r="H26" s="298" t="s">
        <v>256</v>
      </c>
      <c r="I26" s="16" t="s">
        <v>20</v>
      </c>
      <c r="J26" s="17">
        <v>700</v>
      </c>
      <c r="K26" s="18">
        <f>J26*U26</f>
        <v>7000</v>
      </c>
      <c r="L26" s="19"/>
      <c r="M26" s="19"/>
      <c r="N26" s="19"/>
      <c r="O26" s="19"/>
      <c r="P26" s="19"/>
      <c r="Q26" s="19"/>
      <c r="R26" s="19"/>
      <c r="S26" s="19"/>
      <c r="T26" s="19"/>
      <c r="U26" s="16">
        <v>10</v>
      </c>
      <c r="V26" s="19"/>
      <c r="W26" s="19"/>
      <c r="X26" s="19"/>
      <c r="Y26" s="19"/>
      <c r="Z26" s="19"/>
      <c r="AA26" s="19"/>
      <c r="AB26" s="19"/>
      <c r="AC26" s="19"/>
      <c r="AD26" s="19"/>
      <c r="AE26" s="19"/>
      <c r="AF26" s="19"/>
      <c r="AG26" s="19"/>
      <c r="AH26" s="19"/>
      <c r="AI26" s="19"/>
      <c r="AJ26" s="19"/>
      <c r="AK26" s="19"/>
      <c r="AL26" s="19"/>
      <c r="AM26" s="19"/>
      <c r="AN26" s="19"/>
      <c r="AO26" s="19"/>
      <c r="AP26" s="19">
        <f t="shared" si="0"/>
        <v>10</v>
      </c>
      <c r="AQ26" s="21">
        <f t="shared" si="1"/>
        <v>7000</v>
      </c>
      <c r="AR26" s="19">
        <f t="shared" si="2"/>
        <v>5833.3333333333339</v>
      </c>
      <c r="AS26" s="19">
        <v>5833.34</v>
      </c>
    </row>
    <row r="27" spans="1:45" ht="75" x14ac:dyDescent="0.25">
      <c r="A27" s="22" t="s">
        <v>179</v>
      </c>
      <c r="B27" s="23">
        <v>46</v>
      </c>
      <c r="C27" s="23">
        <v>26</v>
      </c>
      <c r="D27" s="298" t="s">
        <v>261</v>
      </c>
      <c r="E27" s="298" t="s">
        <v>261</v>
      </c>
      <c r="F27" s="298" t="s">
        <v>261</v>
      </c>
      <c r="G27" s="298" t="s">
        <v>262</v>
      </c>
      <c r="H27" s="298" t="s">
        <v>262</v>
      </c>
      <c r="I27" s="16" t="s">
        <v>20</v>
      </c>
      <c r="J27" s="17">
        <v>700</v>
      </c>
      <c r="K27" s="18">
        <f>J27*U27</f>
        <v>1400</v>
      </c>
      <c r="L27" s="19"/>
      <c r="M27" s="19"/>
      <c r="N27" s="19"/>
      <c r="O27" s="19"/>
      <c r="P27" s="19"/>
      <c r="Q27" s="19"/>
      <c r="R27" s="19"/>
      <c r="S27" s="19"/>
      <c r="T27" s="19"/>
      <c r="U27" s="16">
        <v>2</v>
      </c>
      <c r="V27" s="19"/>
      <c r="W27" s="19"/>
      <c r="X27" s="19"/>
      <c r="Y27" s="19"/>
      <c r="Z27" s="19"/>
      <c r="AA27" s="19"/>
      <c r="AB27" s="19"/>
      <c r="AC27" s="19"/>
      <c r="AD27" s="19"/>
      <c r="AE27" s="19"/>
      <c r="AF27" s="19"/>
      <c r="AG27" s="19"/>
      <c r="AH27" s="19"/>
      <c r="AI27" s="19"/>
      <c r="AJ27" s="19"/>
      <c r="AK27" s="19"/>
      <c r="AL27" s="19"/>
      <c r="AM27" s="19"/>
      <c r="AN27" s="19"/>
      <c r="AO27" s="19"/>
      <c r="AP27" s="19">
        <f t="shared" si="0"/>
        <v>2</v>
      </c>
      <c r="AQ27" s="21">
        <f t="shared" si="1"/>
        <v>1400</v>
      </c>
      <c r="AR27" s="19">
        <f t="shared" si="2"/>
        <v>1166.6666666666667</v>
      </c>
      <c r="AS27" s="19">
        <v>1166.67</v>
      </c>
    </row>
    <row r="28" spans="1:45" ht="45" x14ac:dyDescent="0.25">
      <c r="A28" s="22"/>
      <c r="B28" s="205">
        <v>2</v>
      </c>
      <c r="C28" s="23">
        <v>27</v>
      </c>
      <c r="D28" s="310" t="s">
        <v>590</v>
      </c>
      <c r="E28" s="310" t="s">
        <v>590</v>
      </c>
      <c r="F28" s="310" t="s">
        <v>590</v>
      </c>
      <c r="G28" s="302" t="s">
        <v>591</v>
      </c>
      <c r="H28" s="302" t="s">
        <v>591</v>
      </c>
      <c r="I28" s="16" t="s">
        <v>20</v>
      </c>
      <c r="J28" s="17">
        <v>1380</v>
      </c>
      <c r="K28" s="289">
        <v>1380</v>
      </c>
      <c r="L28" s="19"/>
      <c r="M28" s="19"/>
      <c r="N28" s="19"/>
      <c r="O28" s="19"/>
      <c r="P28" s="19"/>
      <c r="Q28" s="19"/>
      <c r="R28" s="19"/>
      <c r="S28" s="19"/>
      <c r="T28" s="19"/>
      <c r="U28" s="19"/>
      <c r="V28" s="19"/>
      <c r="W28" s="19"/>
      <c r="X28" s="19"/>
      <c r="Y28" s="19"/>
      <c r="Z28" s="19"/>
      <c r="AA28" s="19"/>
      <c r="AB28" s="19"/>
      <c r="AC28" s="174">
        <v>1</v>
      </c>
      <c r="AD28" s="19"/>
      <c r="AE28" s="19"/>
      <c r="AF28" s="19"/>
      <c r="AG28" s="19"/>
      <c r="AH28" s="19"/>
      <c r="AI28" s="19"/>
      <c r="AJ28" s="19"/>
      <c r="AK28" s="19"/>
      <c r="AL28" s="19"/>
      <c r="AM28" s="19"/>
      <c r="AN28" s="19"/>
      <c r="AO28" s="19"/>
      <c r="AP28" s="19">
        <f t="shared" si="0"/>
        <v>1</v>
      </c>
      <c r="AQ28" s="21">
        <f t="shared" si="1"/>
        <v>1380</v>
      </c>
      <c r="AR28" s="19">
        <f t="shared" si="2"/>
        <v>1150</v>
      </c>
      <c r="AS28" s="19">
        <v>1150</v>
      </c>
    </row>
    <row r="29" spans="1:45" ht="60" x14ac:dyDescent="0.25">
      <c r="A29" s="22" t="s">
        <v>179</v>
      </c>
      <c r="B29" s="23">
        <v>44</v>
      </c>
      <c r="C29" s="23">
        <v>28</v>
      </c>
      <c r="D29" s="298" t="s">
        <v>257</v>
      </c>
      <c r="E29" s="298" t="s">
        <v>257</v>
      </c>
      <c r="F29" s="298" t="s">
        <v>257</v>
      </c>
      <c r="G29" s="298" t="s">
        <v>258</v>
      </c>
      <c r="H29" s="298" t="s">
        <v>258</v>
      </c>
      <c r="I29" s="16" t="s">
        <v>20</v>
      </c>
      <c r="J29" s="17">
        <v>500</v>
      </c>
      <c r="K29" s="18">
        <f>J29*U29</f>
        <v>3500</v>
      </c>
      <c r="L29" s="19"/>
      <c r="M29" s="19"/>
      <c r="N29" s="19"/>
      <c r="O29" s="19"/>
      <c r="P29" s="19"/>
      <c r="Q29" s="19"/>
      <c r="R29" s="19"/>
      <c r="S29" s="19"/>
      <c r="T29" s="19"/>
      <c r="U29" s="16">
        <v>7</v>
      </c>
      <c r="V29" s="19"/>
      <c r="W29" s="19"/>
      <c r="X29" s="19"/>
      <c r="Y29" s="19"/>
      <c r="Z29" s="19"/>
      <c r="AA29" s="19"/>
      <c r="AB29" s="19"/>
      <c r="AC29" s="19"/>
      <c r="AD29" s="19"/>
      <c r="AE29" s="19"/>
      <c r="AF29" s="19"/>
      <c r="AG29" s="19"/>
      <c r="AH29" s="19"/>
      <c r="AI29" s="19"/>
      <c r="AJ29" s="19"/>
      <c r="AK29" s="19"/>
      <c r="AL29" s="19"/>
      <c r="AM29" s="19"/>
      <c r="AN29" s="19"/>
      <c r="AO29" s="19"/>
      <c r="AP29" s="19">
        <f t="shared" si="0"/>
        <v>7</v>
      </c>
      <c r="AQ29" s="21">
        <f t="shared" si="1"/>
        <v>3500</v>
      </c>
      <c r="AR29" s="19">
        <f t="shared" si="2"/>
        <v>2916.666666666667</v>
      </c>
      <c r="AS29" s="19">
        <v>2916.67</v>
      </c>
    </row>
    <row r="30" spans="1:45" ht="60" x14ac:dyDescent="0.25">
      <c r="A30" s="22" t="s">
        <v>179</v>
      </c>
      <c r="B30" s="23">
        <v>15</v>
      </c>
      <c r="C30" s="23">
        <v>29</v>
      </c>
      <c r="D30" s="297" t="s">
        <v>209</v>
      </c>
      <c r="E30" s="297" t="s">
        <v>209</v>
      </c>
      <c r="F30" s="297" t="s">
        <v>209</v>
      </c>
      <c r="G30" s="297" t="s">
        <v>208</v>
      </c>
      <c r="H30" s="297" t="s">
        <v>208</v>
      </c>
      <c r="I30" s="16" t="s">
        <v>20</v>
      </c>
      <c r="J30" s="17">
        <v>1000</v>
      </c>
      <c r="K30" s="18">
        <f>J30*U30</f>
        <v>5000</v>
      </c>
      <c r="L30" s="19"/>
      <c r="M30" s="19"/>
      <c r="N30" s="19"/>
      <c r="O30" s="19"/>
      <c r="P30" s="19"/>
      <c r="Q30" s="19"/>
      <c r="R30" s="19"/>
      <c r="S30" s="19"/>
      <c r="T30" s="19"/>
      <c r="U30" s="16">
        <v>5</v>
      </c>
      <c r="V30" s="19"/>
      <c r="W30" s="19"/>
      <c r="X30" s="19"/>
      <c r="Y30" s="19"/>
      <c r="Z30" s="19"/>
      <c r="AA30" s="19"/>
      <c r="AB30" s="19"/>
      <c r="AC30" s="19"/>
      <c r="AD30" s="19"/>
      <c r="AE30" s="19"/>
      <c r="AF30" s="19"/>
      <c r="AG30" s="19"/>
      <c r="AH30" s="19"/>
      <c r="AI30" s="19"/>
      <c r="AJ30" s="19"/>
      <c r="AK30" s="19"/>
      <c r="AL30" s="19"/>
      <c r="AM30" s="19"/>
      <c r="AN30" s="19"/>
      <c r="AO30" s="19"/>
      <c r="AP30" s="19">
        <f t="shared" si="0"/>
        <v>5</v>
      </c>
      <c r="AQ30" s="21">
        <f t="shared" si="1"/>
        <v>5000</v>
      </c>
      <c r="AR30" s="19">
        <f t="shared" si="2"/>
        <v>4166.666666666667</v>
      </c>
      <c r="AS30" s="19">
        <v>4166.67</v>
      </c>
    </row>
    <row r="31" spans="1:45" ht="120" x14ac:dyDescent="0.25">
      <c r="A31" s="22" t="s">
        <v>360</v>
      </c>
      <c r="B31" s="119">
        <v>8</v>
      </c>
      <c r="C31" s="23">
        <v>30</v>
      </c>
      <c r="D31" s="311" t="s">
        <v>382</v>
      </c>
      <c r="E31" s="311" t="s">
        <v>382</v>
      </c>
      <c r="F31" s="311" t="s">
        <v>382</v>
      </c>
      <c r="G31" s="311" t="s">
        <v>383</v>
      </c>
      <c r="H31" s="311" t="s">
        <v>383</v>
      </c>
      <c r="I31" s="312" t="s">
        <v>367</v>
      </c>
      <c r="J31" s="312">
        <v>1300</v>
      </c>
      <c r="K31" s="313">
        <v>13000</v>
      </c>
      <c r="L31" s="19"/>
      <c r="M31" s="19"/>
      <c r="N31" s="19"/>
      <c r="O31" s="19"/>
      <c r="P31" s="19"/>
      <c r="Q31" s="19"/>
      <c r="R31" s="19"/>
      <c r="S31" s="19"/>
      <c r="T31" s="19"/>
      <c r="U31" s="19"/>
      <c r="V31" s="19"/>
      <c r="W31" s="19"/>
      <c r="X31" s="312">
        <v>10</v>
      </c>
      <c r="Y31" s="19"/>
      <c r="Z31" s="19"/>
      <c r="AA31" s="19"/>
      <c r="AB31" s="19"/>
      <c r="AC31" s="19"/>
      <c r="AD31" s="19"/>
      <c r="AE31" s="19"/>
      <c r="AF31" s="19"/>
      <c r="AG31" s="19"/>
      <c r="AH31" s="19"/>
      <c r="AI31" s="19"/>
      <c r="AJ31" s="19"/>
      <c r="AK31" s="19"/>
      <c r="AL31" s="19"/>
      <c r="AM31" s="19"/>
      <c r="AN31" s="19"/>
      <c r="AO31" s="19"/>
      <c r="AP31" s="19">
        <f t="shared" si="0"/>
        <v>10</v>
      </c>
      <c r="AQ31" s="21">
        <f t="shared" si="1"/>
        <v>13000</v>
      </c>
      <c r="AR31" s="19">
        <f t="shared" si="2"/>
        <v>10833.333333333334</v>
      </c>
      <c r="AS31" s="19">
        <v>10833.34</v>
      </c>
    </row>
    <row r="32" spans="1:45" ht="120" x14ac:dyDescent="0.25">
      <c r="A32" s="22" t="s">
        <v>360</v>
      </c>
      <c r="B32" s="119">
        <v>7</v>
      </c>
      <c r="C32" s="23">
        <v>31</v>
      </c>
      <c r="D32" s="311" t="s">
        <v>380</v>
      </c>
      <c r="E32" s="311" t="s">
        <v>380</v>
      </c>
      <c r="F32" s="311" t="s">
        <v>380</v>
      </c>
      <c r="G32" s="311" t="s">
        <v>381</v>
      </c>
      <c r="H32" s="311" t="s">
        <v>381</v>
      </c>
      <c r="I32" s="312" t="s">
        <v>367</v>
      </c>
      <c r="J32" s="312">
        <v>1300</v>
      </c>
      <c r="K32" s="313">
        <v>13000</v>
      </c>
      <c r="L32" s="19"/>
      <c r="M32" s="19"/>
      <c r="N32" s="19"/>
      <c r="O32" s="19"/>
      <c r="P32" s="19"/>
      <c r="Q32" s="19"/>
      <c r="R32" s="19"/>
      <c r="S32" s="19"/>
      <c r="T32" s="19"/>
      <c r="U32" s="19"/>
      <c r="V32" s="19"/>
      <c r="W32" s="19"/>
      <c r="X32" s="312">
        <v>10</v>
      </c>
      <c r="Y32" s="19"/>
      <c r="Z32" s="19"/>
      <c r="AA32" s="19"/>
      <c r="AB32" s="19"/>
      <c r="AC32" s="19"/>
      <c r="AD32" s="19"/>
      <c r="AE32" s="19"/>
      <c r="AF32" s="19"/>
      <c r="AG32" s="19"/>
      <c r="AH32" s="19"/>
      <c r="AI32" s="19"/>
      <c r="AJ32" s="19"/>
      <c r="AK32" s="19"/>
      <c r="AL32" s="19"/>
      <c r="AM32" s="19"/>
      <c r="AN32" s="19"/>
      <c r="AO32" s="19"/>
      <c r="AP32" s="19">
        <f t="shared" si="0"/>
        <v>10</v>
      </c>
      <c r="AQ32" s="21">
        <f t="shared" si="1"/>
        <v>13000</v>
      </c>
      <c r="AR32" s="19">
        <f t="shared" si="2"/>
        <v>10833.333333333334</v>
      </c>
      <c r="AS32" s="19">
        <v>10833.34</v>
      </c>
    </row>
    <row r="33" spans="1:45" ht="120" x14ac:dyDescent="0.25">
      <c r="A33" s="22" t="s">
        <v>360</v>
      </c>
      <c r="B33" s="119">
        <v>6</v>
      </c>
      <c r="C33" s="23">
        <v>32</v>
      </c>
      <c r="D33" s="311" t="s">
        <v>378</v>
      </c>
      <c r="E33" s="311" t="s">
        <v>378</v>
      </c>
      <c r="F33" s="311" t="s">
        <v>378</v>
      </c>
      <c r="G33" s="311" t="s">
        <v>379</v>
      </c>
      <c r="H33" s="311" t="s">
        <v>379</v>
      </c>
      <c r="I33" s="312" t="s">
        <v>367</v>
      </c>
      <c r="J33" s="312">
        <v>1300</v>
      </c>
      <c r="K33" s="313">
        <v>13000</v>
      </c>
      <c r="L33" s="19"/>
      <c r="M33" s="19"/>
      <c r="N33" s="19"/>
      <c r="O33" s="19"/>
      <c r="P33" s="19"/>
      <c r="Q33" s="19"/>
      <c r="R33" s="19"/>
      <c r="S33" s="19"/>
      <c r="T33" s="19"/>
      <c r="U33" s="19"/>
      <c r="V33" s="19"/>
      <c r="W33" s="19"/>
      <c r="X33" s="312">
        <v>10</v>
      </c>
      <c r="Y33" s="19"/>
      <c r="Z33" s="19"/>
      <c r="AA33" s="19"/>
      <c r="AB33" s="19"/>
      <c r="AC33" s="19"/>
      <c r="AD33" s="19"/>
      <c r="AE33" s="19"/>
      <c r="AF33" s="19"/>
      <c r="AG33" s="19"/>
      <c r="AH33" s="19"/>
      <c r="AI33" s="19"/>
      <c r="AJ33" s="19"/>
      <c r="AK33" s="19"/>
      <c r="AL33" s="19"/>
      <c r="AM33" s="19"/>
      <c r="AN33" s="19"/>
      <c r="AO33" s="19"/>
      <c r="AP33" s="19">
        <f t="shared" si="0"/>
        <v>10</v>
      </c>
      <c r="AQ33" s="21">
        <f t="shared" si="1"/>
        <v>13000</v>
      </c>
      <c r="AR33" s="19">
        <f t="shared" si="2"/>
        <v>10833.333333333334</v>
      </c>
      <c r="AS33" s="19">
        <v>10833.34</v>
      </c>
    </row>
    <row r="34" spans="1:45" ht="105" x14ac:dyDescent="0.25">
      <c r="A34" s="22" t="s">
        <v>506</v>
      </c>
      <c r="B34" s="172">
        <v>17</v>
      </c>
      <c r="C34" s="23">
        <v>33</v>
      </c>
      <c r="D34" s="301" t="s">
        <v>541</v>
      </c>
      <c r="E34" s="301" t="s">
        <v>541</v>
      </c>
      <c r="F34" s="301" t="s">
        <v>541</v>
      </c>
      <c r="G34" s="301" t="s">
        <v>543</v>
      </c>
      <c r="H34" s="301" t="s">
        <v>543</v>
      </c>
      <c r="I34" s="16" t="s">
        <v>20</v>
      </c>
      <c r="J34" s="17">
        <v>700</v>
      </c>
      <c r="K34" s="172">
        <v>4200</v>
      </c>
      <c r="L34" s="19"/>
      <c r="M34" s="19"/>
      <c r="N34" s="19"/>
      <c r="O34" s="19"/>
      <c r="P34" s="19"/>
      <c r="Q34" s="19"/>
      <c r="R34" s="19"/>
      <c r="S34" s="19"/>
      <c r="T34" s="19"/>
      <c r="U34" s="19"/>
      <c r="V34" s="19"/>
      <c r="W34" s="19"/>
      <c r="X34" s="19"/>
      <c r="Y34" s="19"/>
      <c r="Z34" s="19"/>
      <c r="AA34" s="176">
        <v>6</v>
      </c>
      <c r="AB34" s="19"/>
      <c r="AC34" s="19"/>
      <c r="AD34" s="19"/>
      <c r="AE34" s="19"/>
      <c r="AF34" s="19"/>
      <c r="AG34" s="19"/>
      <c r="AH34" s="19"/>
      <c r="AI34" s="19"/>
      <c r="AJ34" s="19"/>
      <c r="AK34" s="19"/>
      <c r="AL34" s="19"/>
      <c r="AM34" s="19"/>
      <c r="AN34" s="19"/>
      <c r="AO34" s="19"/>
      <c r="AP34" s="19">
        <f t="shared" si="0"/>
        <v>6</v>
      </c>
      <c r="AQ34" s="21">
        <f t="shared" si="1"/>
        <v>4200</v>
      </c>
      <c r="AR34" s="19">
        <f t="shared" si="2"/>
        <v>3500</v>
      </c>
      <c r="AS34" s="19">
        <v>3500</v>
      </c>
    </row>
    <row r="35" spans="1:45" ht="45" x14ac:dyDescent="0.25">
      <c r="A35" s="22" t="s">
        <v>645</v>
      </c>
      <c r="B35" s="205">
        <v>3</v>
      </c>
      <c r="C35" s="23">
        <v>34</v>
      </c>
      <c r="D35" s="302" t="s">
        <v>650</v>
      </c>
      <c r="E35" s="302" t="s">
        <v>650</v>
      </c>
      <c r="F35" s="302" t="s">
        <v>650</v>
      </c>
      <c r="G35" s="302" t="s">
        <v>650</v>
      </c>
      <c r="H35" s="302" t="s">
        <v>650</v>
      </c>
      <c r="I35" s="16" t="s">
        <v>20</v>
      </c>
      <c r="J35" s="207">
        <v>300</v>
      </c>
      <c r="K35" s="207">
        <v>1500</v>
      </c>
      <c r="L35" s="19"/>
      <c r="M35" s="19"/>
      <c r="N35" s="19"/>
      <c r="O35" s="19"/>
      <c r="P35" s="19"/>
      <c r="Q35" s="19"/>
      <c r="R35" s="19"/>
      <c r="S35" s="19"/>
      <c r="T35" s="19"/>
      <c r="U35" s="19"/>
      <c r="V35" s="19"/>
      <c r="W35" s="19"/>
      <c r="X35" s="19"/>
      <c r="Y35" s="19"/>
      <c r="Z35" s="19"/>
      <c r="AA35" s="19"/>
      <c r="AB35" s="19"/>
      <c r="AC35" s="19"/>
      <c r="AD35" s="19"/>
      <c r="AE35" s="174">
        <v>5</v>
      </c>
      <c r="AF35" s="19"/>
      <c r="AG35" s="19"/>
      <c r="AH35" s="19"/>
      <c r="AI35" s="19"/>
      <c r="AJ35" s="19"/>
      <c r="AK35" s="19"/>
      <c r="AL35" s="19"/>
      <c r="AM35" s="19"/>
      <c r="AN35" s="19"/>
      <c r="AO35" s="19"/>
      <c r="AP35" s="19">
        <f t="shared" si="0"/>
        <v>5</v>
      </c>
      <c r="AQ35" s="21">
        <f t="shared" si="1"/>
        <v>1500</v>
      </c>
      <c r="AR35" s="19">
        <f t="shared" si="2"/>
        <v>1250</v>
      </c>
      <c r="AS35" s="19">
        <v>1250</v>
      </c>
    </row>
    <row r="36" spans="1:45" ht="45" x14ac:dyDescent="0.25">
      <c r="A36" s="22" t="s">
        <v>308</v>
      </c>
      <c r="B36" s="172">
        <v>5</v>
      </c>
      <c r="C36" s="23">
        <v>35</v>
      </c>
      <c r="D36" s="299" t="s">
        <v>355</v>
      </c>
      <c r="E36" s="299" t="s">
        <v>355</v>
      </c>
      <c r="F36" s="299" t="s">
        <v>355</v>
      </c>
      <c r="G36" s="299" t="s">
        <v>355</v>
      </c>
      <c r="H36" s="299" t="s">
        <v>355</v>
      </c>
      <c r="I36" s="47" t="s">
        <v>356</v>
      </c>
      <c r="J36" s="17">
        <v>1.5</v>
      </c>
      <c r="K36" s="49">
        <v>5250</v>
      </c>
      <c r="L36" s="19"/>
      <c r="M36" s="19"/>
      <c r="N36" s="19"/>
      <c r="O36" s="19"/>
      <c r="P36" s="19"/>
      <c r="Q36" s="19"/>
      <c r="R36" s="19"/>
      <c r="S36" s="19"/>
      <c r="T36" s="19"/>
      <c r="U36" s="19"/>
      <c r="V36" s="19"/>
      <c r="W36" s="47">
        <v>3500</v>
      </c>
      <c r="X36" s="19"/>
      <c r="Y36" s="19"/>
      <c r="Z36" s="19"/>
      <c r="AA36" s="19"/>
      <c r="AB36" s="19"/>
      <c r="AC36" s="19"/>
      <c r="AD36" s="19"/>
      <c r="AE36" s="19"/>
      <c r="AF36" s="19"/>
      <c r="AG36" s="19"/>
      <c r="AH36" s="19"/>
      <c r="AI36" s="19"/>
      <c r="AJ36" s="19"/>
      <c r="AK36" s="19"/>
      <c r="AL36" s="19"/>
      <c r="AM36" s="19"/>
      <c r="AN36" s="19"/>
      <c r="AO36" s="19"/>
      <c r="AP36" s="19">
        <f t="shared" si="0"/>
        <v>3500</v>
      </c>
      <c r="AQ36" s="21">
        <f t="shared" si="1"/>
        <v>5250</v>
      </c>
      <c r="AR36" s="19">
        <f t="shared" si="2"/>
        <v>4375</v>
      </c>
      <c r="AS36" s="19">
        <v>4375</v>
      </c>
    </row>
    <row r="37" spans="1:45" ht="120" x14ac:dyDescent="0.25">
      <c r="A37" s="22" t="s">
        <v>308</v>
      </c>
      <c r="B37" s="43">
        <v>13</v>
      </c>
      <c r="C37" s="23">
        <v>36</v>
      </c>
      <c r="D37" s="282" t="s">
        <v>332</v>
      </c>
      <c r="E37" s="282" t="s">
        <v>332</v>
      </c>
      <c r="F37" s="282" t="s">
        <v>332</v>
      </c>
      <c r="G37" s="275" t="s">
        <v>333</v>
      </c>
      <c r="H37" s="275" t="s">
        <v>333</v>
      </c>
      <c r="I37" s="16" t="s">
        <v>20</v>
      </c>
      <c r="J37" s="276">
        <v>70</v>
      </c>
      <c r="K37" s="304">
        <v>3500</v>
      </c>
      <c r="L37" s="19"/>
      <c r="M37" s="19"/>
      <c r="N37" s="19"/>
      <c r="O37" s="19"/>
      <c r="P37" s="19"/>
      <c r="Q37" s="19"/>
      <c r="R37" s="19"/>
      <c r="S37" s="19"/>
      <c r="T37" s="19"/>
      <c r="U37" s="19"/>
      <c r="V37" s="19"/>
      <c r="W37" s="276">
        <v>50</v>
      </c>
      <c r="X37" s="19"/>
      <c r="Y37" s="19"/>
      <c r="Z37" s="19"/>
      <c r="AA37" s="19"/>
      <c r="AB37" s="19"/>
      <c r="AC37" s="19"/>
      <c r="AD37" s="19"/>
      <c r="AE37" s="19"/>
      <c r="AF37" s="19"/>
      <c r="AG37" s="19"/>
      <c r="AH37" s="19"/>
      <c r="AI37" s="19"/>
      <c r="AJ37" s="19"/>
      <c r="AK37" s="19"/>
      <c r="AL37" s="19"/>
      <c r="AM37" s="19"/>
      <c r="AN37" s="19"/>
      <c r="AO37" s="19"/>
      <c r="AP37" s="19">
        <f t="shared" si="0"/>
        <v>50</v>
      </c>
      <c r="AQ37" s="21">
        <f t="shared" si="1"/>
        <v>3500</v>
      </c>
      <c r="AR37" s="19">
        <f t="shared" si="2"/>
        <v>2916.666666666667</v>
      </c>
      <c r="AS37" s="19">
        <v>2916.67</v>
      </c>
    </row>
    <row r="38" spans="1:45" ht="409.5" x14ac:dyDescent="0.25">
      <c r="A38" s="22" t="s">
        <v>360</v>
      </c>
      <c r="B38" s="119">
        <v>5</v>
      </c>
      <c r="C38" s="23">
        <v>37</v>
      </c>
      <c r="D38" s="311" t="s">
        <v>374</v>
      </c>
      <c r="E38" s="311" t="s">
        <v>374</v>
      </c>
      <c r="F38" s="311" t="s">
        <v>374</v>
      </c>
      <c r="G38" s="311" t="s">
        <v>376</v>
      </c>
      <c r="H38" s="311" t="s">
        <v>376</v>
      </c>
      <c r="I38" s="312" t="s">
        <v>367</v>
      </c>
      <c r="J38" s="312">
        <v>690</v>
      </c>
      <c r="K38" s="313">
        <v>13800</v>
      </c>
      <c r="L38" s="19"/>
      <c r="M38" s="19"/>
      <c r="N38" s="19"/>
      <c r="O38" s="19"/>
      <c r="P38" s="19"/>
      <c r="Q38" s="19"/>
      <c r="R38" s="19"/>
      <c r="S38" s="19"/>
      <c r="T38" s="19"/>
      <c r="U38" s="19"/>
      <c r="V38" s="19"/>
      <c r="W38" s="19"/>
      <c r="X38" s="312">
        <v>20</v>
      </c>
      <c r="Y38" s="19"/>
      <c r="Z38" s="19"/>
      <c r="AA38" s="19"/>
      <c r="AB38" s="19"/>
      <c r="AC38" s="19"/>
      <c r="AD38" s="19"/>
      <c r="AE38" s="19"/>
      <c r="AF38" s="19"/>
      <c r="AG38" s="19"/>
      <c r="AH38" s="19"/>
      <c r="AI38" s="19"/>
      <c r="AJ38" s="19"/>
      <c r="AK38" s="19"/>
      <c r="AL38" s="19"/>
      <c r="AM38" s="19"/>
      <c r="AN38" s="19"/>
      <c r="AO38" s="19"/>
      <c r="AP38" s="19">
        <f t="shared" si="0"/>
        <v>20</v>
      </c>
      <c r="AQ38" s="21">
        <f t="shared" si="1"/>
        <v>13800</v>
      </c>
      <c r="AR38" s="19">
        <f t="shared" si="2"/>
        <v>11500</v>
      </c>
      <c r="AS38" s="19">
        <v>11500</v>
      </c>
    </row>
    <row r="39" spans="1:45" ht="60" x14ac:dyDescent="0.25">
      <c r="A39" s="22" t="s">
        <v>76</v>
      </c>
      <c r="B39" s="23">
        <v>23</v>
      </c>
      <c r="C39" s="23">
        <v>38</v>
      </c>
      <c r="D39" s="297" t="s">
        <v>129</v>
      </c>
      <c r="E39" s="297" t="s">
        <v>129</v>
      </c>
      <c r="F39" s="297" t="s">
        <v>129</v>
      </c>
      <c r="G39" s="297" t="s">
        <v>130</v>
      </c>
      <c r="H39" s="297" t="s">
        <v>130</v>
      </c>
      <c r="I39" s="16" t="s">
        <v>20</v>
      </c>
      <c r="J39" s="17">
        <v>1200</v>
      </c>
      <c r="K39" s="18">
        <v>12000</v>
      </c>
      <c r="L39" s="19"/>
      <c r="M39" s="19"/>
      <c r="N39" s="19"/>
      <c r="O39" s="19"/>
      <c r="P39" s="19"/>
      <c r="Q39" s="19"/>
      <c r="R39" s="16">
        <v>10</v>
      </c>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f t="shared" si="0"/>
        <v>10</v>
      </c>
      <c r="AQ39" s="21">
        <f t="shared" si="1"/>
        <v>12000</v>
      </c>
      <c r="AR39" s="19">
        <f t="shared" si="2"/>
        <v>10000</v>
      </c>
      <c r="AS39" s="19">
        <v>10000</v>
      </c>
    </row>
    <row r="40" spans="1:45" ht="90" x14ac:dyDescent="0.25">
      <c r="A40" s="22" t="s">
        <v>76</v>
      </c>
      <c r="B40" s="23">
        <v>22</v>
      </c>
      <c r="C40" s="23">
        <v>39</v>
      </c>
      <c r="D40" s="297" t="s">
        <v>126</v>
      </c>
      <c r="E40" s="297" t="s">
        <v>126</v>
      </c>
      <c r="F40" s="297" t="s">
        <v>126</v>
      </c>
      <c r="G40" s="297" t="s">
        <v>128</v>
      </c>
      <c r="H40" s="297" t="s">
        <v>128</v>
      </c>
      <c r="I40" s="16" t="s">
        <v>20</v>
      </c>
      <c r="J40" s="17">
        <v>900</v>
      </c>
      <c r="K40" s="18">
        <v>45000</v>
      </c>
      <c r="L40" s="19"/>
      <c r="M40" s="19"/>
      <c r="N40" s="19"/>
      <c r="O40" s="19"/>
      <c r="P40" s="19"/>
      <c r="Q40" s="19"/>
      <c r="R40" s="16">
        <v>50</v>
      </c>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f t="shared" si="0"/>
        <v>50</v>
      </c>
      <c r="AQ40" s="21">
        <f t="shared" si="1"/>
        <v>45000</v>
      </c>
      <c r="AR40" s="19">
        <f t="shared" si="2"/>
        <v>37500</v>
      </c>
      <c r="AS40" s="19">
        <v>37500</v>
      </c>
    </row>
    <row r="41" spans="1:45" ht="409.5" x14ac:dyDescent="0.25">
      <c r="A41" s="22" t="s">
        <v>360</v>
      </c>
      <c r="B41" s="119">
        <v>2</v>
      </c>
      <c r="C41" s="23">
        <v>40</v>
      </c>
      <c r="D41" s="311" t="s">
        <v>364</v>
      </c>
      <c r="E41" s="311" t="s">
        <v>364</v>
      </c>
      <c r="F41" s="311" t="s">
        <v>364</v>
      </c>
      <c r="G41" s="314" t="s">
        <v>366</v>
      </c>
      <c r="H41" s="314" t="s">
        <v>366</v>
      </c>
      <c r="I41" s="312" t="s">
        <v>367</v>
      </c>
      <c r="J41" s="312">
        <v>750</v>
      </c>
      <c r="K41" s="313">
        <v>712500</v>
      </c>
      <c r="L41" s="19"/>
      <c r="M41" s="19"/>
      <c r="N41" s="19"/>
      <c r="O41" s="19"/>
      <c r="P41" s="19"/>
      <c r="Q41" s="19"/>
      <c r="R41" s="19"/>
      <c r="S41" s="19"/>
      <c r="T41" s="19"/>
      <c r="U41" s="19"/>
      <c r="V41" s="19"/>
      <c r="W41" s="19"/>
      <c r="X41" s="312">
        <v>950</v>
      </c>
      <c r="Y41" s="19"/>
      <c r="Z41" s="19"/>
      <c r="AA41" s="19"/>
      <c r="AB41" s="19"/>
      <c r="AC41" s="19"/>
      <c r="AD41" s="19"/>
      <c r="AE41" s="19"/>
      <c r="AF41" s="19"/>
      <c r="AG41" s="19"/>
      <c r="AH41" s="19"/>
      <c r="AI41" s="19"/>
      <c r="AJ41" s="19"/>
      <c r="AK41" s="19"/>
      <c r="AL41" s="19"/>
      <c r="AM41" s="19"/>
      <c r="AN41" s="19"/>
      <c r="AO41" s="19"/>
      <c r="AP41" s="19">
        <f t="shared" si="0"/>
        <v>950</v>
      </c>
      <c r="AQ41" s="21">
        <f t="shared" si="1"/>
        <v>712500</v>
      </c>
      <c r="AR41" s="19">
        <f t="shared" si="2"/>
        <v>593750</v>
      </c>
      <c r="AS41" s="19">
        <v>593750</v>
      </c>
    </row>
    <row r="42" spans="1:45" ht="409.5" x14ac:dyDescent="0.25">
      <c r="A42" s="22" t="s">
        <v>360</v>
      </c>
      <c r="B42" s="119">
        <v>3</v>
      </c>
      <c r="C42" s="23">
        <v>41</v>
      </c>
      <c r="D42" s="311" t="s">
        <v>368</v>
      </c>
      <c r="E42" s="311" t="s">
        <v>368</v>
      </c>
      <c r="F42" s="311" t="s">
        <v>368</v>
      </c>
      <c r="G42" s="311" t="s">
        <v>370</v>
      </c>
      <c r="H42" s="311" t="s">
        <v>370</v>
      </c>
      <c r="I42" s="312" t="s">
        <v>367</v>
      </c>
      <c r="J42" s="312">
        <v>690</v>
      </c>
      <c r="K42" s="313">
        <v>690000</v>
      </c>
      <c r="L42" s="19"/>
      <c r="M42" s="19"/>
      <c r="N42" s="19"/>
      <c r="O42" s="19"/>
      <c r="P42" s="19"/>
      <c r="Q42" s="19"/>
      <c r="R42" s="19"/>
      <c r="S42" s="19"/>
      <c r="T42" s="19"/>
      <c r="U42" s="19"/>
      <c r="V42" s="19"/>
      <c r="W42" s="19"/>
      <c r="X42" s="312">
        <v>1000</v>
      </c>
      <c r="Y42" s="19"/>
      <c r="Z42" s="19"/>
      <c r="AA42" s="19"/>
      <c r="AB42" s="19"/>
      <c r="AC42" s="19"/>
      <c r="AD42" s="19"/>
      <c r="AE42" s="19"/>
      <c r="AF42" s="19"/>
      <c r="AG42" s="19"/>
      <c r="AH42" s="19"/>
      <c r="AI42" s="19"/>
      <c r="AJ42" s="19"/>
      <c r="AK42" s="19"/>
      <c r="AL42" s="19"/>
      <c r="AM42" s="19"/>
      <c r="AN42" s="19"/>
      <c r="AO42" s="19"/>
      <c r="AP42" s="19">
        <f t="shared" si="0"/>
        <v>1000</v>
      </c>
      <c r="AQ42" s="21">
        <f t="shared" si="1"/>
        <v>690000</v>
      </c>
      <c r="AR42" s="19">
        <f t="shared" si="2"/>
        <v>575000</v>
      </c>
      <c r="AS42" s="19">
        <v>575000</v>
      </c>
    </row>
    <row r="43" spans="1:45" ht="409.5" x14ac:dyDescent="0.25">
      <c r="A43" s="22" t="s">
        <v>360</v>
      </c>
      <c r="B43" s="119">
        <v>4</v>
      </c>
      <c r="C43" s="23">
        <v>42</v>
      </c>
      <c r="D43" s="311" t="s">
        <v>371</v>
      </c>
      <c r="E43" s="311" t="s">
        <v>371</v>
      </c>
      <c r="F43" s="311" t="s">
        <v>371</v>
      </c>
      <c r="G43" s="311" t="s">
        <v>373</v>
      </c>
      <c r="H43" s="311" t="s">
        <v>373</v>
      </c>
      <c r="I43" s="312" t="s">
        <v>367</v>
      </c>
      <c r="J43" s="312">
        <v>690</v>
      </c>
      <c r="K43" s="313">
        <v>103500</v>
      </c>
      <c r="L43" s="19"/>
      <c r="M43" s="19"/>
      <c r="N43" s="19"/>
      <c r="O43" s="19"/>
      <c r="P43" s="19"/>
      <c r="Q43" s="19"/>
      <c r="R43" s="19"/>
      <c r="S43" s="19"/>
      <c r="T43" s="19"/>
      <c r="U43" s="19"/>
      <c r="V43" s="19"/>
      <c r="W43" s="19"/>
      <c r="X43" s="312">
        <v>150</v>
      </c>
      <c r="Y43" s="19"/>
      <c r="Z43" s="19"/>
      <c r="AA43" s="19"/>
      <c r="AB43" s="19"/>
      <c r="AC43" s="19"/>
      <c r="AD43" s="19"/>
      <c r="AE43" s="19"/>
      <c r="AF43" s="19"/>
      <c r="AG43" s="19"/>
      <c r="AH43" s="19"/>
      <c r="AI43" s="19"/>
      <c r="AJ43" s="19"/>
      <c r="AK43" s="19"/>
      <c r="AL43" s="19"/>
      <c r="AM43" s="19"/>
      <c r="AN43" s="19"/>
      <c r="AO43" s="19"/>
      <c r="AP43" s="19">
        <f t="shared" si="0"/>
        <v>150</v>
      </c>
      <c r="AQ43" s="21">
        <f t="shared" si="1"/>
        <v>103500</v>
      </c>
      <c r="AR43" s="19">
        <f t="shared" si="2"/>
        <v>86250</v>
      </c>
      <c r="AS43" s="19">
        <v>86250</v>
      </c>
    </row>
    <row r="44" spans="1:45" ht="75" x14ac:dyDescent="0.25">
      <c r="A44" s="22" t="s">
        <v>179</v>
      </c>
      <c r="B44" s="23">
        <v>12</v>
      </c>
      <c r="C44" s="23">
        <v>43</v>
      </c>
      <c r="D44" s="300" t="s">
        <v>204</v>
      </c>
      <c r="E44" s="300" t="s">
        <v>204</v>
      </c>
      <c r="F44" s="300" t="s">
        <v>204</v>
      </c>
      <c r="G44" s="300" t="s">
        <v>206</v>
      </c>
      <c r="H44" s="300" t="s">
        <v>206</v>
      </c>
      <c r="I44" s="16" t="s">
        <v>20</v>
      </c>
      <c r="J44" s="17">
        <v>500</v>
      </c>
      <c r="K44" s="18">
        <f>J44*U44</f>
        <v>5000</v>
      </c>
      <c r="L44" s="19"/>
      <c r="M44" s="19"/>
      <c r="N44" s="19"/>
      <c r="O44" s="19"/>
      <c r="P44" s="19"/>
      <c r="Q44" s="19"/>
      <c r="R44" s="19"/>
      <c r="S44" s="19"/>
      <c r="T44" s="19"/>
      <c r="U44" s="16">
        <v>10</v>
      </c>
      <c r="V44" s="19"/>
      <c r="W44" s="19"/>
      <c r="X44" s="19"/>
      <c r="Y44" s="19"/>
      <c r="Z44" s="19"/>
      <c r="AA44" s="19"/>
      <c r="AB44" s="19"/>
      <c r="AC44" s="19"/>
      <c r="AD44" s="19"/>
      <c r="AE44" s="19"/>
      <c r="AF44" s="19"/>
      <c r="AG44" s="19"/>
      <c r="AH44" s="19"/>
      <c r="AI44" s="19"/>
      <c r="AJ44" s="19"/>
      <c r="AK44" s="19"/>
      <c r="AL44" s="19"/>
      <c r="AM44" s="19"/>
      <c r="AN44" s="19"/>
      <c r="AO44" s="19"/>
      <c r="AP44" s="19">
        <f t="shared" si="0"/>
        <v>10</v>
      </c>
      <c r="AQ44" s="21">
        <f t="shared" si="1"/>
        <v>5000</v>
      </c>
      <c r="AR44" s="19">
        <f t="shared" si="2"/>
        <v>4166.666666666667</v>
      </c>
      <c r="AS44" s="19">
        <v>4166.67</v>
      </c>
    </row>
    <row r="45" spans="1:45" ht="45" x14ac:dyDescent="0.25">
      <c r="A45" s="22" t="s">
        <v>698</v>
      </c>
      <c r="B45" s="205"/>
      <c r="C45" s="23">
        <v>44</v>
      </c>
      <c r="D45" s="302" t="s">
        <v>784</v>
      </c>
      <c r="E45" s="302" t="s">
        <v>784</v>
      </c>
      <c r="F45" s="302" t="s">
        <v>784</v>
      </c>
      <c r="G45" s="302" t="s">
        <v>700</v>
      </c>
      <c r="H45" s="302" t="s">
        <v>700</v>
      </c>
      <c r="I45" s="16" t="s">
        <v>20</v>
      </c>
      <c r="J45" s="207">
        <v>220</v>
      </c>
      <c r="K45" s="207">
        <v>44000</v>
      </c>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74">
        <v>200</v>
      </c>
      <c r="AP45" s="19">
        <f t="shared" si="0"/>
        <v>200</v>
      </c>
      <c r="AQ45" s="21">
        <f t="shared" si="1"/>
        <v>44000</v>
      </c>
      <c r="AR45" s="19">
        <f t="shared" si="2"/>
        <v>36666.666666666672</v>
      </c>
      <c r="AS45" s="19">
        <v>36666.670000000006</v>
      </c>
    </row>
    <row r="46" spans="1:45" ht="60" x14ac:dyDescent="0.25">
      <c r="A46" s="22" t="s">
        <v>592</v>
      </c>
      <c r="B46" s="172"/>
      <c r="C46" s="23">
        <v>45</v>
      </c>
      <c r="D46" s="297" t="s">
        <v>599</v>
      </c>
      <c r="E46" s="297" t="s">
        <v>599</v>
      </c>
      <c r="F46" s="297" t="s">
        <v>599</v>
      </c>
      <c r="G46" s="297" t="s">
        <v>755</v>
      </c>
      <c r="H46" s="297" t="s">
        <v>755</v>
      </c>
      <c r="I46" s="16" t="s">
        <v>157</v>
      </c>
      <c r="J46" s="18">
        <v>1258</v>
      </c>
      <c r="K46" s="18">
        <f>J46*AD46</f>
        <v>31450</v>
      </c>
      <c r="L46" s="19"/>
      <c r="M46" s="19"/>
      <c r="N46" s="19"/>
      <c r="O46" s="19"/>
      <c r="P46" s="19"/>
      <c r="Q46" s="19"/>
      <c r="R46" s="19"/>
      <c r="S46" s="19"/>
      <c r="T46" s="19"/>
      <c r="U46" s="19"/>
      <c r="V46" s="19"/>
      <c r="W46" s="19"/>
      <c r="X46" s="19"/>
      <c r="Y46" s="19"/>
      <c r="Z46" s="19"/>
      <c r="AA46" s="19"/>
      <c r="AB46" s="19"/>
      <c r="AC46" s="19"/>
      <c r="AD46" s="16">
        <v>25</v>
      </c>
      <c r="AE46" s="19"/>
      <c r="AF46" s="19"/>
      <c r="AG46" s="19"/>
      <c r="AH46" s="19"/>
      <c r="AI46" s="19"/>
      <c r="AJ46" s="19"/>
      <c r="AK46" s="19"/>
      <c r="AL46" s="19"/>
      <c r="AM46" s="19"/>
      <c r="AN46" s="19"/>
      <c r="AO46" s="19"/>
      <c r="AP46" s="19">
        <f t="shared" si="0"/>
        <v>25</v>
      </c>
      <c r="AQ46" s="21">
        <f t="shared" si="1"/>
        <v>31450</v>
      </c>
      <c r="AR46" s="19">
        <f t="shared" si="2"/>
        <v>26208.333333333336</v>
      </c>
      <c r="AS46" s="19">
        <v>26208.34</v>
      </c>
    </row>
    <row r="47" spans="1:45" ht="225" x14ac:dyDescent="0.25">
      <c r="A47" s="22" t="s">
        <v>506</v>
      </c>
      <c r="B47" s="172">
        <v>22</v>
      </c>
      <c r="C47" s="23">
        <v>46</v>
      </c>
      <c r="D47" s="301" t="s">
        <v>563</v>
      </c>
      <c r="E47" s="301" t="s">
        <v>563</v>
      </c>
      <c r="F47" s="301" t="s">
        <v>563</v>
      </c>
      <c r="G47" s="301" t="s">
        <v>565</v>
      </c>
      <c r="H47" s="301" t="s">
        <v>565</v>
      </c>
      <c r="I47" s="16" t="s">
        <v>20</v>
      </c>
      <c r="J47" s="17">
        <v>1455</v>
      </c>
      <c r="K47" s="172">
        <v>145500</v>
      </c>
      <c r="L47" s="19"/>
      <c r="M47" s="19"/>
      <c r="N47" s="19"/>
      <c r="O47" s="19"/>
      <c r="P47" s="19"/>
      <c r="Q47" s="19"/>
      <c r="R47" s="19"/>
      <c r="S47" s="19"/>
      <c r="T47" s="19"/>
      <c r="U47" s="19"/>
      <c r="V47" s="19"/>
      <c r="W47" s="19"/>
      <c r="X47" s="19"/>
      <c r="Y47" s="19"/>
      <c r="Z47" s="19"/>
      <c r="AA47" s="176">
        <v>100</v>
      </c>
      <c r="AB47" s="19"/>
      <c r="AC47" s="19"/>
      <c r="AD47" s="19"/>
      <c r="AE47" s="19"/>
      <c r="AF47" s="19"/>
      <c r="AG47" s="19"/>
      <c r="AH47" s="19"/>
      <c r="AI47" s="19"/>
      <c r="AJ47" s="19"/>
      <c r="AK47" s="19"/>
      <c r="AL47" s="19"/>
      <c r="AM47" s="19"/>
      <c r="AN47" s="19"/>
      <c r="AO47" s="19"/>
      <c r="AP47" s="19">
        <f t="shared" si="0"/>
        <v>100</v>
      </c>
      <c r="AQ47" s="21">
        <f t="shared" si="1"/>
        <v>145500</v>
      </c>
      <c r="AR47" s="19">
        <f t="shared" si="2"/>
        <v>121250</v>
      </c>
      <c r="AS47" s="19">
        <v>121250</v>
      </c>
    </row>
    <row r="48" spans="1:45" ht="57" customHeight="1" x14ac:dyDescent="0.25">
      <c r="A48" s="22" t="s">
        <v>645</v>
      </c>
      <c r="B48" s="205">
        <v>4</v>
      </c>
      <c r="C48" s="371">
        <v>47</v>
      </c>
      <c r="D48" s="302" t="s">
        <v>652</v>
      </c>
      <c r="E48" s="360" t="s">
        <v>789</v>
      </c>
      <c r="F48" s="302" t="s">
        <v>652</v>
      </c>
      <c r="G48" s="302" t="s">
        <v>654</v>
      </c>
      <c r="H48" s="360" t="s">
        <v>790</v>
      </c>
      <c r="I48" s="16" t="s">
        <v>20</v>
      </c>
      <c r="J48" s="17">
        <v>8</v>
      </c>
      <c r="K48" s="207">
        <v>1600</v>
      </c>
      <c r="L48" s="19"/>
      <c r="M48" s="19"/>
      <c r="N48" s="19"/>
      <c r="O48" s="19"/>
      <c r="P48" s="19"/>
      <c r="Q48" s="19"/>
      <c r="R48" s="19"/>
      <c r="S48" s="19"/>
      <c r="T48" s="19"/>
      <c r="U48" s="19"/>
      <c r="V48" s="19"/>
      <c r="W48" s="19"/>
      <c r="X48" s="19"/>
      <c r="Y48" s="19"/>
      <c r="Z48" s="19"/>
      <c r="AA48" s="19"/>
      <c r="AB48" s="19"/>
      <c r="AC48" s="19"/>
      <c r="AD48" s="19"/>
      <c r="AE48" s="174">
        <v>200</v>
      </c>
      <c r="AF48" s="19"/>
      <c r="AG48" s="19"/>
      <c r="AH48" s="19"/>
      <c r="AI48" s="19"/>
      <c r="AJ48" s="19"/>
      <c r="AK48" s="19"/>
      <c r="AL48" s="19"/>
      <c r="AM48" s="19"/>
      <c r="AN48" s="19"/>
      <c r="AO48" s="19"/>
      <c r="AP48" s="19">
        <f t="shared" si="0"/>
        <v>200</v>
      </c>
      <c r="AQ48" s="21">
        <f t="shared" si="1"/>
        <v>1600</v>
      </c>
      <c r="AR48" s="19">
        <f t="shared" si="2"/>
        <v>1333.3333333333335</v>
      </c>
      <c r="AS48" s="19">
        <v>1333.34</v>
      </c>
    </row>
    <row r="49" spans="1:45" ht="45" x14ac:dyDescent="0.25">
      <c r="A49" s="22" t="s">
        <v>76</v>
      </c>
      <c r="B49" s="23">
        <v>11</v>
      </c>
      <c r="C49" s="23">
        <v>48</v>
      </c>
      <c r="D49" s="297" t="s">
        <v>101</v>
      </c>
      <c r="E49" s="297" t="s">
        <v>101</v>
      </c>
      <c r="F49" s="297" t="s">
        <v>101</v>
      </c>
      <c r="G49" s="297" t="s">
        <v>103</v>
      </c>
      <c r="H49" s="297" t="s">
        <v>103</v>
      </c>
      <c r="I49" s="16" t="s">
        <v>20</v>
      </c>
      <c r="J49" s="17">
        <v>2500</v>
      </c>
      <c r="K49" s="18">
        <f>J49*R49</f>
        <v>25000</v>
      </c>
      <c r="L49" s="19"/>
      <c r="M49" s="19"/>
      <c r="N49" s="19"/>
      <c r="O49" s="19"/>
      <c r="P49" s="19"/>
      <c r="Q49" s="19"/>
      <c r="R49" s="16">
        <v>10</v>
      </c>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f t="shared" si="0"/>
        <v>10</v>
      </c>
      <c r="AQ49" s="21">
        <f t="shared" si="1"/>
        <v>25000</v>
      </c>
      <c r="AR49" s="19">
        <f t="shared" si="2"/>
        <v>20833.333333333336</v>
      </c>
      <c r="AS49" s="19">
        <v>20833.34</v>
      </c>
    </row>
    <row r="50" spans="1:45" ht="105" x14ac:dyDescent="0.25">
      <c r="A50" s="22" t="s">
        <v>506</v>
      </c>
      <c r="B50" s="172">
        <v>11</v>
      </c>
      <c r="C50" s="23">
        <v>49</v>
      </c>
      <c r="D50" s="301" t="s">
        <v>529</v>
      </c>
      <c r="E50" s="301" t="s">
        <v>529</v>
      </c>
      <c r="F50" s="301" t="s">
        <v>529</v>
      </c>
      <c r="G50" s="301" t="s">
        <v>530</v>
      </c>
      <c r="H50" s="301" t="s">
        <v>530</v>
      </c>
      <c r="I50" s="16" t="s">
        <v>20</v>
      </c>
      <c r="J50" s="17">
        <v>950</v>
      </c>
      <c r="K50" s="172">
        <v>950</v>
      </c>
      <c r="L50" s="19"/>
      <c r="M50" s="19"/>
      <c r="N50" s="19"/>
      <c r="O50" s="19"/>
      <c r="P50" s="19"/>
      <c r="Q50" s="19"/>
      <c r="R50" s="19"/>
      <c r="S50" s="19"/>
      <c r="T50" s="19"/>
      <c r="U50" s="19"/>
      <c r="V50" s="19"/>
      <c r="W50" s="19"/>
      <c r="X50" s="19"/>
      <c r="Y50" s="19"/>
      <c r="Z50" s="19"/>
      <c r="AA50" s="176">
        <v>1</v>
      </c>
      <c r="AB50" s="19"/>
      <c r="AC50" s="19"/>
      <c r="AD50" s="19"/>
      <c r="AE50" s="19"/>
      <c r="AF50" s="19"/>
      <c r="AG50" s="19"/>
      <c r="AH50" s="19"/>
      <c r="AI50" s="19"/>
      <c r="AJ50" s="19"/>
      <c r="AK50" s="19"/>
      <c r="AL50" s="19"/>
      <c r="AM50" s="19"/>
      <c r="AN50" s="19"/>
      <c r="AO50" s="19"/>
      <c r="AP50" s="19">
        <f t="shared" si="0"/>
        <v>1</v>
      </c>
      <c r="AQ50" s="21">
        <f t="shared" si="1"/>
        <v>950</v>
      </c>
      <c r="AR50" s="19">
        <f t="shared" si="2"/>
        <v>791.66666666666674</v>
      </c>
      <c r="AS50" s="19">
        <v>791.67</v>
      </c>
    </row>
    <row r="51" spans="1:45" ht="105" x14ac:dyDescent="0.25">
      <c r="A51" s="22" t="s">
        <v>506</v>
      </c>
      <c r="B51" s="172">
        <v>14</v>
      </c>
      <c r="C51" s="23">
        <v>50</v>
      </c>
      <c r="D51" s="301" t="s">
        <v>535</v>
      </c>
      <c r="E51" s="301" t="s">
        <v>535</v>
      </c>
      <c r="F51" s="301" t="s">
        <v>535</v>
      </c>
      <c r="G51" s="301" t="s">
        <v>536</v>
      </c>
      <c r="H51" s="301" t="s">
        <v>536</v>
      </c>
      <c r="I51" s="16" t="s">
        <v>20</v>
      </c>
      <c r="J51" s="17">
        <v>950</v>
      </c>
      <c r="K51" s="172">
        <v>1900</v>
      </c>
      <c r="L51" s="19"/>
      <c r="M51" s="19"/>
      <c r="N51" s="19"/>
      <c r="O51" s="19"/>
      <c r="P51" s="19"/>
      <c r="Q51" s="19"/>
      <c r="R51" s="19"/>
      <c r="S51" s="19"/>
      <c r="T51" s="19"/>
      <c r="U51" s="19"/>
      <c r="V51" s="19"/>
      <c r="W51" s="19"/>
      <c r="X51" s="19"/>
      <c r="Y51" s="19"/>
      <c r="Z51" s="19"/>
      <c r="AA51" s="176">
        <v>2</v>
      </c>
      <c r="AB51" s="19"/>
      <c r="AC51" s="19"/>
      <c r="AD51" s="19"/>
      <c r="AE51" s="19"/>
      <c r="AF51" s="19"/>
      <c r="AG51" s="19"/>
      <c r="AH51" s="19"/>
      <c r="AI51" s="19"/>
      <c r="AJ51" s="19"/>
      <c r="AK51" s="19"/>
      <c r="AL51" s="19"/>
      <c r="AM51" s="19"/>
      <c r="AN51" s="19"/>
      <c r="AO51" s="19"/>
      <c r="AP51" s="19">
        <f t="shared" si="0"/>
        <v>2</v>
      </c>
      <c r="AQ51" s="21">
        <f t="shared" si="1"/>
        <v>1900</v>
      </c>
      <c r="AR51" s="19">
        <f t="shared" si="2"/>
        <v>1583.3333333333335</v>
      </c>
      <c r="AS51" s="19">
        <v>1583.34</v>
      </c>
    </row>
    <row r="52" spans="1:45" ht="105" x14ac:dyDescent="0.25">
      <c r="A52" s="22" t="s">
        <v>506</v>
      </c>
      <c r="B52" s="172">
        <v>15</v>
      </c>
      <c r="C52" s="23">
        <v>51</v>
      </c>
      <c r="D52" s="301" t="s">
        <v>537</v>
      </c>
      <c r="E52" s="301" t="s">
        <v>537</v>
      </c>
      <c r="F52" s="301" t="s">
        <v>537</v>
      </c>
      <c r="G52" s="301" t="s">
        <v>538</v>
      </c>
      <c r="H52" s="301" t="s">
        <v>538</v>
      </c>
      <c r="I52" s="16" t="s">
        <v>20</v>
      </c>
      <c r="J52" s="17">
        <v>950</v>
      </c>
      <c r="K52" s="172">
        <v>3800</v>
      </c>
      <c r="L52" s="19"/>
      <c r="M52" s="19"/>
      <c r="N52" s="19"/>
      <c r="O52" s="19"/>
      <c r="P52" s="19"/>
      <c r="Q52" s="19"/>
      <c r="R52" s="19"/>
      <c r="S52" s="19"/>
      <c r="T52" s="19"/>
      <c r="U52" s="19"/>
      <c r="V52" s="19"/>
      <c r="W52" s="19"/>
      <c r="X52" s="19"/>
      <c r="Y52" s="19"/>
      <c r="Z52" s="19"/>
      <c r="AA52" s="176">
        <v>4</v>
      </c>
      <c r="AB52" s="19"/>
      <c r="AC52" s="19"/>
      <c r="AD52" s="19"/>
      <c r="AE52" s="19"/>
      <c r="AF52" s="19"/>
      <c r="AG52" s="19"/>
      <c r="AH52" s="19"/>
      <c r="AI52" s="19"/>
      <c r="AJ52" s="19"/>
      <c r="AK52" s="19"/>
      <c r="AL52" s="19"/>
      <c r="AM52" s="19"/>
      <c r="AN52" s="19"/>
      <c r="AO52" s="19"/>
      <c r="AP52" s="19">
        <f t="shared" si="0"/>
        <v>4</v>
      </c>
      <c r="AQ52" s="21">
        <f t="shared" si="1"/>
        <v>3800</v>
      </c>
      <c r="AR52" s="19">
        <f t="shared" si="2"/>
        <v>3166.666666666667</v>
      </c>
      <c r="AS52" s="19">
        <v>3166.67</v>
      </c>
    </row>
    <row r="53" spans="1:45" ht="105" x14ac:dyDescent="0.25">
      <c r="A53" s="22" t="s">
        <v>506</v>
      </c>
      <c r="B53" s="172">
        <v>12</v>
      </c>
      <c r="C53" s="23">
        <v>52</v>
      </c>
      <c r="D53" s="301" t="s">
        <v>531</v>
      </c>
      <c r="E53" s="301" t="s">
        <v>531</v>
      </c>
      <c r="F53" s="301" t="s">
        <v>531</v>
      </c>
      <c r="G53" s="301" t="s">
        <v>532</v>
      </c>
      <c r="H53" s="301" t="s">
        <v>532</v>
      </c>
      <c r="I53" s="16" t="s">
        <v>20</v>
      </c>
      <c r="J53" s="17">
        <v>950</v>
      </c>
      <c r="K53" s="172">
        <v>1900</v>
      </c>
      <c r="L53" s="19"/>
      <c r="M53" s="19"/>
      <c r="N53" s="19"/>
      <c r="O53" s="19"/>
      <c r="P53" s="19"/>
      <c r="Q53" s="19"/>
      <c r="R53" s="19"/>
      <c r="S53" s="19"/>
      <c r="T53" s="19"/>
      <c r="U53" s="19"/>
      <c r="V53" s="19"/>
      <c r="W53" s="19"/>
      <c r="X53" s="19"/>
      <c r="Y53" s="19"/>
      <c r="Z53" s="19"/>
      <c r="AA53" s="176">
        <v>2</v>
      </c>
      <c r="AB53" s="19"/>
      <c r="AC53" s="19"/>
      <c r="AD53" s="19"/>
      <c r="AE53" s="19"/>
      <c r="AF53" s="19"/>
      <c r="AG53" s="19"/>
      <c r="AH53" s="19"/>
      <c r="AI53" s="19"/>
      <c r="AJ53" s="19"/>
      <c r="AK53" s="19"/>
      <c r="AL53" s="19"/>
      <c r="AM53" s="19"/>
      <c r="AN53" s="19"/>
      <c r="AO53" s="19"/>
      <c r="AP53" s="19">
        <f t="shared" si="0"/>
        <v>2</v>
      </c>
      <c r="AQ53" s="21">
        <f t="shared" si="1"/>
        <v>1900</v>
      </c>
      <c r="AR53" s="19">
        <f t="shared" si="2"/>
        <v>1583.3333333333335</v>
      </c>
      <c r="AS53" s="19">
        <v>1583.34</v>
      </c>
    </row>
    <row r="54" spans="1:45" ht="105" x14ac:dyDescent="0.25">
      <c r="A54" s="22" t="s">
        <v>506</v>
      </c>
      <c r="B54" s="172">
        <v>13</v>
      </c>
      <c r="C54" s="23">
        <v>53</v>
      </c>
      <c r="D54" s="301" t="s">
        <v>533</v>
      </c>
      <c r="E54" s="301" t="s">
        <v>533</v>
      </c>
      <c r="F54" s="301" t="s">
        <v>533</v>
      </c>
      <c r="G54" s="301" t="s">
        <v>534</v>
      </c>
      <c r="H54" s="301" t="s">
        <v>534</v>
      </c>
      <c r="I54" s="16" t="s">
        <v>20</v>
      </c>
      <c r="J54" s="17">
        <v>950</v>
      </c>
      <c r="K54" s="172">
        <v>1900</v>
      </c>
      <c r="L54" s="19"/>
      <c r="M54" s="19"/>
      <c r="N54" s="19"/>
      <c r="O54" s="19"/>
      <c r="P54" s="19"/>
      <c r="Q54" s="19"/>
      <c r="R54" s="19"/>
      <c r="S54" s="19"/>
      <c r="T54" s="19"/>
      <c r="U54" s="19"/>
      <c r="V54" s="19"/>
      <c r="W54" s="19"/>
      <c r="X54" s="19"/>
      <c r="Y54" s="19"/>
      <c r="Z54" s="19"/>
      <c r="AA54" s="176">
        <v>2</v>
      </c>
      <c r="AB54" s="19"/>
      <c r="AC54" s="19"/>
      <c r="AD54" s="19"/>
      <c r="AE54" s="19"/>
      <c r="AF54" s="19"/>
      <c r="AG54" s="19"/>
      <c r="AH54" s="19"/>
      <c r="AI54" s="19"/>
      <c r="AJ54" s="19"/>
      <c r="AK54" s="19"/>
      <c r="AL54" s="19"/>
      <c r="AM54" s="19"/>
      <c r="AN54" s="19"/>
      <c r="AO54" s="19"/>
      <c r="AP54" s="19">
        <f t="shared" si="0"/>
        <v>2</v>
      </c>
      <c r="AQ54" s="21">
        <f t="shared" si="1"/>
        <v>1900</v>
      </c>
      <c r="AR54" s="19">
        <f t="shared" si="2"/>
        <v>1583.3333333333335</v>
      </c>
      <c r="AS54" s="19">
        <v>1583.34</v>
      </c>
    </row>
    <row r="55" spans="1:45" ht="60" x14ac:dyDescent="0.25">
      <c r="A55" s="22" t="s">
        <v>506</v>
      </c>
      <c r="B55" s="172">
        <v>10</v>
      </c>
      <c r="C55" s="23">
        <v>54</v>
      </c>
      <c r="D55" s="315" t="s">
        <v>527</v>
      </c>
      <c r="E55" s="315" t="s">
        <v>527</v>
      </c>
      <c r="F55" s="315" t="s">
        <v>527</v>
      </c>
      <c r="G55" s="316" t="s">
        <v>528</v>
      </c>
      <c r="H55" s="316" t="s">
        <v>528</v>
      </c>
      <c r="I55" s="16" t="s">
        <v>20</v>
      </c>
      <c r="J55" s="17">
        <v>24</v>
      </c>
      <c r="K55" s="172">
        <v>4800</v>
      </c>
      <c r="L55" s="19"/>
      <c r="M55" s="19"/>
      <c r="N55" s="19"/>
      <c r="O55" s="19"/>
      <c r="P55" s="19"/>
      <c r="Q55" s="19"/>
      <c r="R55" s="19"/>
      <c r="S55" s="19"/>
      <c r="T55" s="19"/>
      <c r="U55" s="19"/>
      <c r="V55" s="19"/>
      <c r="W55" s="19"/>
      <c r="X55" s="19"/>
      <c r="Y55" s="19"/>
      <c r="Z55" s="19"/>
      <c r="AA55" s="176">
        <v>200</v>
      </c>
      <c r="AB55" s="19"/>
      <c r="AC55" s="19"/>
      <c r="AD55" s="19"/>
      <c r="AE55" s="19"/>
      <c r="AF55" s="19"/>
      <c r="AG55" s="19"/>
      <c r="AH55" s="19"/>
      <c r="AI55" s="19"/>
      <c r="AJ55" s="19"/>
      <c r="AK55" s="19"/>
      <c r="AL55" s="19"/>
      <c r="AM55" s="19"/>
      <c r="AN55" s="19"/>
      <c r="AO55" s="19"/>
      <c r="AP55" s="19">
        <f t="shared" si="0"/>
        <v>200</v>
      </c>
      <c r="AQ55" s="21">
        <f t="shared" si="1"/>
        <v>4800</v>
      </c>
      <c r="AR55" s="19">
        <f t="shared" si="2"/>
        <v>4000</v>
      </c>
      <c r="AS55" s="19">
        <v>4000</v>
      </c>
    </row>
    <row r="56" spans="1:45" ht="120" x14ac:dyDescent="0.25">
      <c r="A56" s="22" t="s">
        <v>179</v>
      </c>
      <c r="B56" s="23">
        <v>24</v>
      </c>
      <c r="C56" s="23">
        <v>55</v>
      </c>
      <c r="D56" s="282" t="s">
        <v>231</v>
      </c>
      <c r="E56" s="282" t="s">
        <v>231</v>
      </c>
      <c r="F56" s="282" t="s">
        <v>231</v>
      </c>
      <c r="G56" s="282" t="s">
        <v>232</v>
      </c>
      <c r="H56" s="282" t="s">
        <v>232</v>
      </c>
      <c r="I56" s="16" t="s">
        <v>20</v>
      </c>
      <c r="J56" s="17">
        <v>5</v>
      </c>
      <c r="K56" s="18">
        <f>J56*U56</f>
        <v>150</v>
      </c>
      <c r="L56" s="19"/>
      <c r="M56" s="19"/>
      <c r="N56" s="19"/>
      <c r="O56" s="19"/>
      <c r="P56" s="19"/>
      <c r="Q56" s="19"/>
      <c r="R56" s="19"/>
      <c r="S56" s="19"/>
      <c r="T56" s="19"/>
      <c r="U56" s="16">
        <v>30</v>
      </c>
      <c r="V56" s="19"/>
      <c r="W56" s="19"/>
      <c r="X56" s="19"/>
      <c r="Y56" s="19"/>
      <c r="Z56" s="19"/>
      <c r="AA56" s="19"/>
      <c r="AB56" s="19"/>
      <c r="AC56" s="19"/>
      <c r="AD56" s="19"/>
      <c r="AE56" s="19"/>
      <c r="AF56" s="19"/>
      <c r="AG56" s="19"/>
      <c r="AH56" s="19"/>
      <c r="AI56" s="19"/>
      <c r="AJ56" s="19"/>
      <c r="AK56" s="19"/>
      <c r="AL56" s="19"/>
      <c r="AM56" s="19"/>
      <c r="AN56" s="19"/>
      <c r="AO56" s="19"/>
      <c r="AP56" s="19">
        <f t="shared" si="0"/>
        <v>30</v>
      </c>
      <c r="AQ56" s="21">
        <f t="shared" si="1"/>
        <v>150</v>
      </c>
      <c r="AR56" s="19">
        <f t="shared" si="2"/>
        <v>125</v>
      </c>
      <c r="AS56" s="19">
        <v>125</v>
      </c>
    </row>
    <row r="57" spans="1:45" ht="57" customHeight="1" x14ac:dyDescent="0.25">
      <c r="A57" s="22" t="s">
        <v>179</v>
      </c>
      <c r="B57" s="23">
        <v>9</v>
      </c>
      <c r="C57" s="371">
        <v>56</v>
      </c>
      <c r="D57" s="275" t="s">
        <v>196</v>
      </c>
      <c r="E57" s="370" t="s">
        <v>196</v>
      </c>
      <c r="F57" s="275" t="s">
        <v>196</v>
      </c>
      <c r="G57" s="275" t="s">
        <v>197</v>
      </c>
      <c r="H57" s="370" t="s">
        <v>819</v>
      </c>
      <c r="I57" s="16" t="s">
        <v>20</v>
      </c>
      <c r="J57" s="17">
        <v>1.2</v>
      </c>
      <c r="K57" s="18">
        <f>J57*U57</f>
        <v>72000</v>
      </c>
      <c r="L57" s="19"/>
      <c r="M57" s="19"/>
      <c r="N57" s="19"/>
      <c r="O57" s="19"/>
      <c r="P57" s="19"/>
      <c r="Q57" s="19"/>
      <c r="R57" s="19"/>
      <c r="S57" s="19"/>
      <c r="T57" s="19"/>
      <c r="U57" s="16">
        <v>60000</v>
      </c>
      <c r="V57" s="19"/>
      <c r="W57" s="19"/>
      <c r="X57" s="19"/>
      <c r="Y57" s="19"/>
      <c r="Z57" s="19"/>
      <c r="AA57" s="19"/>
      <c r="AB57" s="19"/>
      <c r="AC57" s="19"/>
      <c r="AD57" s="19"/>
      <c r="AE57" s="19"/>
      <c r="AF57" s="19"/>
      <c r="AG57" s="19"/>
      <c r="AH57" s="19"/>
      <c r="AI57" s="19"/>
      <c r="AJ57" s="19"/>
      <c r="AK57" s="19"/>
      <c r="AL57" s="19"/>
      <c r="AM57" s="19"/>
      <c r="AN57" s="19"/>
      <c r="AO57" s="19"/>
      <c r="AP57" s="19">
        <f t="shared" si="0"/>
        <v>60000</v>
      </c>
      <c r="AQ57" s="21">
        <f t="shared" si="1"/>
        <v>72000</v>
      </c>
      <c r="AR57" s="19">
        <f t="shared" si="2"/>
        <v>60000</v>
      </c>
      <c r="AS57" s="19">
        <v>60000</v>
      </c>
    </row>
    <row r="58" spans="1:45" ht="105" x14ac:dyDescent="0.25">
      <c r="A58" s="22" t="s">
        <v>179</v>
      </c>
      <c r="B58" s="23">
        <v>4</v>
      </c>
      <c r="C58" s="23">
        <v>57</v>
      </c>
      <c r="D58" s="282" t="s">
        <v>187</v>
      </c>
      <c r="E58" s="282" t="s">
        <v>187</v>
      </c>
      <c r="F58" s="282" t="s">
        <v>187</v>
      </c>
      <c r="G58" s="12" t="s">
        <v>189</v>
      </c>
      <c r="H58" s="12" t="s">
        <v>189</v>
      </c>
      <c r="I58" s="16" t="s">
        <v>20</v>
      </c>
      <c r="J58" s="17">
        <v>50</v>
      </c>
      <c r="K58" s="18">
        <f>J58*U58</f>
        <v>1000</v>
      </c>
      <c r="L58" s="19"/>
      <c r="M58" s="19"/>
      <c r="N58" s="19"/>
      <c r="O58" s="19"/>
      <c r="P58" s="19"/>
      <c r="Q58" s="19"/>
      <c r="R58" s="19"/>
      <c r="S58" s="19"/>
      <c r="T58" s="19"/>
      <c r="U58" s="16">
        <v>20</v>
      </c>
      <c r="V58" s="19"/>
      <c r="W58" s="19"/>
      <c r="X58" s="19"/>
      <c r="Y58" s="19"/>
      <c r="Z58" s="19"/>
      <c r="AA58" s="19"/>
      <c r="AB58" s="19"/>
      <c r="AC58" s="19"/>
      <c r="AD58" s="19"/>
      <c r="AE58" s="19"/>
      <c r="AF58" s="19"/>
      <c r="AG58" s="19"/>
      <c r="AH58" s="19"/>
      <c r="AI58" s="19"/>
      <c r="AJ58" s="19"/>
      <c r="AK58" s="19"/>
      <c r="AL58" s="19"/>
      <c r="AM58" s="19"/>
      <c r="AN58" s="19"/>
      <c r="AO58" s="19"/>
      <c r="AP58" s="19">
        <f t="shared" si="0"/>
        <v>20</v>
      </c>
      <c r="AQ58" s="21">
        <f t="shared" si="1"/>
        <v>1000</v>
      </c>
      <c r="AR58" s="19">
        <f t="shared" si="2"/>
        <v>833.33333333333337</v>
      </c>
      <c r="AS58" s="19">
        <v>833.34</v>
      </c>
    </row>
    <row r="59" spans="1:45" ht="57" customHeight="1" x14ac:dyDescent="0.25">
      <c r="A59" s="22" t="s">
        <v>179</v>
      </c>
      <c r="B59" s="23">
        <v>23</v>
      </c>
      <c r="C59" s="371">
        <v>58</v>
      </c>
      <c r="D59" s="282" t="s">
        <v>230</v>
      </c>
      <c r="E59" s="74" t="s">
        <v>805</v>
      </c>
      <c r="F59" s="282" t="s">
        <v>230</v>
      </c>
      <c r="G59" s="282" t="s">
        <v>230</v>
      </c>
      <c r="H59" s="74" t="s">
        <v>804</v>
      </c>
      <c r="I59" s="16" t="s">
        <v>20</v>
      </c>
      <c r="J59" s="17">
        <v>40</v>
      </c>
      <c r="K59" s="18">
        <f>J59*U59</f>
        <v>8000</v>
      </c>
      <c r="L59" s="19"/>
      <c r="M59" s="19"/>
      <c r="N59" s="19"/>
      <c r="O59" s="19"/>
      <c r="P59" s="19"/>
      <c r="Q59" s="19"/>
      <c r="R59" s="19"/>
      <c r="S59" s="19"/>
      <c r="T59" s="19"/>
      <c r="U59" s="16">
        <v>200</v>
      </c>
      <c r="V59" s="19"/>
      <c r="W59" s="19"/>
      <c r="X59" s="19"/>
      <c r="Y59" s="19"/>
      <c r="Z59" s="19"/>
      <c r="AA59" s="19"/>
      <c r="AB59" s="19"/>
      <c r="AC59" s="19"/>
      <c r="AD59" s="19"/>
      <c r="AE59" s="19"/>
      <c r="AF59" s="19"/>
      <c r="AG59" s="19"/>
      <c r="AH59" s="19"/>
      <c r="AI59" s="19"/>
      <c r="AJ59" s="19"/>
      <c r="AK59" s="19"/>
      <c r="AL59" s="19"/>
      <c r="AM59" s="19"/>
      <c r="AN59" s="19"/>
      <c r="AO59" s="19"/>
      <c r="AP59" s="19">
        <f t="shared" si="0"/>
        <v>200</v>
      </c>
      <c r="AQ59" s="21">
        <f t="shared" si="1"/>
        <v>8000</v>
      </c>
      <c r="AR59" s="19">
        <f t="shared" si="2"/>
        <v>6666.666666666667</v>
      </c>
      <c r="AS59" s="19">
        <v>6666.67</v>
      </c>
    </row>
    <row r="60" spans="1:45" ht="135" x14ac:dyDescent="0.25">
      <c r="A60" s="22"/>
      <c r="B60" s="43">
        <v>1</v>
      </c>
      <c r="C60" s="23">
        <v>59</v>
      </c>
      <c r="D60" s="299" t="s">
        <v>162</v>
      </c>
      <c r="E60" s="299" t="s">
        <v>162</v>
      </c>
      <c r="F60" s="299" t="s">
        <v>162</v>
      </c>
      <c r="G60" s="299" t="s">
        <v>163</v>
      </c>
      <c r="H60" s="299" t="s">
        <v>163</v>
      </c>
      <c r="I60" s="16" t="s">
        <v>20</v>
      </c>
      <c r="J60" s="49" t="s">
        <v>165</v>
      </c>
      <c r="K60" s="66">
        <v>20000</v>
      </c>
      <c r="L60" s="19"/>
      <c r="M60" s="19"/>
      <c r="N60" s="19"/>
      <c r="O60" s="19"/>
      <c r="P60" s="19"/>
      <c r="Q60" s="19"/>
      <c r="R60" s="19"/>
      <c r="S60" s="19"/>
      <c r="T60" s="65">
        <v>200</v>
      </c>
      <c r="U60" s="19"/>
      <c r="V60" s="19"/>
      <c r="W60" s="19"/>
      <c r="X60" s="19"/>
      <c r="Y60" s="19"/>
      <c r="Z60" s="19"/>
      <c r="AA60" s="19"/>
      <c r="AB60" s="19"/>
      <c r="AC60" s="19"/>
      <c r="AD60" s="19"/>
      <c r="AE60" s="19"/>
      <c r="AF60" s="19"/>
      <c r="AG60" s="19"/>
      <c r="AH60" s="19"/>
      <c r="AI60" s="19"/>
      <c r="AJ60" s="19"/>
      <c r="AK60" s="19"/>
      <c r="AL60" s="19"/>
      <c r="AM60" s="19"/>
      <c r="AN60" s="19"/>
      <c r="AO60" s="19"/>
      <c r="AP60" s="19">
        <f t="shared" si="0"/>
        <v>200</v>
      </c>
      <c r="AQ60" s="21">
        <f t="shared" si="1"/>
        <v>20000</v>
      </c>
      <c r="AR60" s="19">
        <f t="shared" si="2"/>
        <v>16666.666666666668</v>
      </c>
      <c r="AS60" s="19">
        <v>16666.669999999998</v>
      </c>
    </row>
    <row r="61" spans="1:45" ht="105" x14ac:dyDescent="0.25">
      <c r="A61" s="22" t="s">
        <v>160</v>
      </c>
      <c r="B61" s="43">
        <v>2</v>
      </c>
      <c r="C61" s="23">
        <v>60</v>
      </c>
      <c r="D61" s="299" t="s">
        <v>167</v>
      </c>
      <c r="E61" s="299" t="s">
        <v>167</v>
      </c>
      <c r="F61" s="299" t="s">
        <v>167</v>
      </c>
      <c r="G61" s="299" t="s">
        <v>168</v>
      </c>
      <c r="H61" s="299" t="s">
        <v>168</v>
      </c>
      <c r="I61" s="16" t="s">
        <v>20</v>
      </c>
      <c r="J61" s="49">
        <v>240</v>
      </c>
      <c r="K61" s="66">
        <v>36000</v>
      </c>
      <c r="L61" s="19"/>
      <c r="M61" s="19"/>
      <c r="N61" s="19"/>
      <c r="O61" s="19"/>
      <c r="P61" s="19"/>
      <c r="Q61" s="19"/>
      <c r="R61" s="19"/>
      <c r="S61" s="19"/>
      <c r="T61" s="65">
        <v>150</v>
      </c>
      <c r="U61" s="19"/>
      <c r="V61" s="19"/>
      <c r="W61" s="19"/>
      <c r="X61" s="19"/>
      <c r="Y61" s="19"/>
      <c r="Z61" s="19"/>
      <c r="AA61" s="19"/>
      <c r="AB61" s="19"/>
      <c r="AC61" s="19"/>
      <c r="AD61" s="19"/>
      <c r="AE61" s="19"/>
      <c r="AF61" s="19"/>
      <c r="AG61" s="19"/>
      <c r="AH61" s="19"/>
      <c r="AI61" s="19"/>
      <c r="AJ61" s="19"/>
      <c r="AK61" s="19"/>
      <c r="AL61" s="19"/>
      <c r="AM61" s="19"/>
      <c r="AN61" s="19"/>
      <c r="AO61" s="19"/>
      <c r="AP61" s="19">
        <f t="shared" si="0"/>
        <v>150</v>
      </c>
      <c r="AQ61" s="21">
        <f t="shared" si="1"/>
        <v>36000</v>
      </c>
      <c r="AR61" s="19">
        <f t="shared" si="2"/>
        <v>30000</v>
      </c>
      <c r="AS61" s="19">
        <v>30000</v>
      </c>
    </row>
    <row r="62" spans="1:45" ht="105" x14ac:dyDescent="0.25">
      <c r="A62" s="22" t="s">
        <v>179</v>
      </c>
      <c r="B62" s="23">
        <v>39</v>
      </c>
      <c r="C62" s="23">
        <v>61</v>
      </c>
      <c r="D62" s="298" t="s">
        <v>247</v>
      </c>
      <c r="E62" s="298" t="s">
        <v>247</v>
      </c>
      <c r="F62" s="298" t="s">
        <v>247</v>
      </c>
      <c r="G62" s="297" t="s">
        <v>249</v>
      </c>
      <c r="H62" s="297" t="s">
        <v>249</v>
      </c>
      <c r="I62" s="16" t="s">
        <v>20</v>
      </c>
      <c r="J62" s="17">
        <v>2500</v>
      </c>
      <c r="K62" s="18">
        <f>J62*U62</f>
        <v>7500</v>
      </c>
      <c r="L62" s="19"/>
      <c r="M62" s="19"/>
      <c r="N62" s="19"/>
      <c r="O62" s="19"/>
      <c r="P62" s="19"/>
      <c r="Q62" s="19"/>
      <c r="R62" s="19"/>
      <c r="S62" s="19"/>
      <c r="T62" s="19"/>
      <c r="U62" s="16">
        <v>3</v>
      </c>
      <c r="V62" s="19"/>
      <c r="W62" s="19"/>
      <c r="X62" s="19"/>
      <c r="Y62" s="19"/>
      <c r="Z62" s="19"/>
      <c r="AA62" s="19"/>
      <c r="AB62" s="19"/>
      <c r="AC62" s="19"/>
      <c r="AD62" s="19"/>
      <c r="AE62" s="19"/>
      <c r="AF62" s="19"/>
      <c r="AG62" s="19"/>
      <c r="AH62" s="19"/>
      <c r="AI62" s="19"/>
      <c r="AJ62" s="19"/>
      <c r="AK62" s="19"/>
      <c r="AL62" s="19"/>
      <c r="AM62" s="19"/>
      <c r="AN62" s="19"/>
      <c r="AO62" s="19"/>
      <c r="AP62" s="19">
        <f t="shared" si="0"/>
        <v>3</v>
      </c>
      <c r="AQ62" s="21">
        <f t="shared" si="1"/>
        <v>7500</v>
      </c>
      <c r="AR62" s="19">
        <f t="shared" si="2"/>
        <v>6250</v>
      </c>
      <c r="AS62" s="19">
        <v>6250</v>
      </c>
    </row>
    <row r="63" spans="1:45" ht="135" x14ac:dyDescent="0.25">
      <c r="A63" s="22" t="s">
        <v>506</v>
      </c>
      <c r="B63" s="172">
        <v>21</v>
      </c>
      <c r="C63" s="23">
        <v>62</v>
      </c>
      <c r="D63" s="317" t="s">
        <v>559</v>
      </c>
      <c r="E63" s="317" t="s">
        <v>559</v>
      </c>
      <c r="F63" s="317" t="s">
        <v>559</v>
      </c>
      <c r="G63" s="317" t="s">
        <v>561</v>
      </c>
      <c r="H63" s="317" t="s">
        <v>561</v>
      </c>
      <c r="I63" s="16" t="s">
        <v>20</v>
      </c>
      <c r="J63" s="104">
        <v>25.2</v>
      </c>
      <c r="K63" s="172">
        <v>113400</v>
      </c>
      <c r="L63" s="19"/>
      <c r="M63" s="19"/>
      <c r="N63" s="19"/>
      <c r="O63" s="19"/>
      <c r="P63" s="19"/>
      <c r="Q63" s="19"/>
      <c r="R63" s="19"/>
      <c r="S63" s="19"/>
      <c r="T63" s="19"/>
      <c r="U63" s="19"/>
      <c r="V63" s="19"/>
      <c r="W63" s="19"/>
      <c r="X63" s="19"/>
      <c r="Y63" s="19"/>
      <c r="Z63" s="19"/>
      <c r="AA63" s="176">
        <v>4500</v>
      </c>
      <c r="AB63" s="19"/>
      <c r="AC63" s="19"/>
      <c r="AD63" s="19"/>
      <c r="AE63" s="19"/>
      <c r="AF63" s="19"/>
      <c r="AG63" s="19"/>
      <c r="AH63" s="19"/>
      <c r="AI63" s="19"/>
      <c r="AJ63" s="19"/>
      <c r="AK63" s="19"/>
      <c r="AL63" s="19"/>
      <c r="AM63" s="19"/>
      <c r="AN63" s="19"/>
      <c r="AO63" s="19"/>
      <c r="AP63" s="19">
        <f t="shared" si="0"/>
        <v>4500</v>
      </c>
      <c r="AQ63" s="21">
        <f t="shared" si="1"/>
        <v>113400</v>
      </c>
      <c r="AR63" s="19">
        <f t="shared" si="2"/>
        <v>94500</v>
      </c>
      <c r="AS63" s="19">
        <v>94500</v>
      </c>
    </row>
    <row r="64" spans="1:45" ht="57" customHeight="1" x14ac:dyDescent="0.25">
      <c r="A64" s="22" t="s">
        <v>308</v>
      </c>
      <c r="B64" s="172">
        <v>4</v>
      </c>
      <c r="C64" s="371">
        <v>63</v>
      </c>
      <c r="D64" s="299" t="s">
        <v>351</v>
      </c>
      <c r="E64" s="361" t="s">
        <v>791</v>
      </c>
      <c r="F64" s="299" t="s">
        <v>351</v>
      </c>
      <c r="G64" s="299" t="s">
        <v>353</v>
      </c>
      <c r="H64" s="361" t="s">
        <v>792</v>
      </c>
      <c r="I64" s="47" t="s">
        <v>20</v>
      </c>
      <c r="J64" s="49">
        <v>32.119999999999997</v>
      </c>
      <c r="K64" s="49">
        <v>321.2</v>
      </c>
      <c r="L64" s="19"/>
      <c r="M64" s="19"/>
      <c r="N64" s="19"/>
      <c r="O64" s="19"/>
      <c r="P64" s="19"/>
      <c r="Q64" s="19"/>
      <c r="R64" s="19"/>
      <c r="S64" s="19"/>
      <c r="T64" s="19"/>
      <c r="U64" s="19"/>
      <c r="V64" s="19"/>
      <c r="W64" s="47">
        <v>1250</v>
      </c>
      <c r="X64" s="19"/>
      <c r="Y64" s="19"/>
      <c r="Z64" s="19"/>
      <c r="AA64" s="19"/>
      <c r="AB64" s="19"/>
      <c r="AC64" s="19"/>
      <c r="AD64" s="19"/>
      <c r="AE64" s="19"/>
      <c r="AF64" s="19"/>
      <c r="AG64" s="19"/>
      <c r="AH64" s="19"/>
      <c r="AI64" s="19"/>
      <c r="AJ64" s="19"/>
      <c r="AK64" s="19"/>
      <c r="AL64" s="19"/>
      <c r="AM64" s="19"/>
      <c r="AN64" s="19"/>
      <c r="AO64" s="19"/>
      <c r="AP64" s="19">
        <f t="shared" si="0"/>
        <v>1250</v>
      </c>
      <c r="AQ64" s="21">
        <f t="shared" si="1"/>
        <v>40150</v>
      </c>
      <c r="AR64" s="19">
        <f t="shared" si="2"/>
        <v>33458.333333333336</v>
      </c>
      <c r="AS64" s="19">
        <v>33458.340000000004</v>
      </c>
    </row>
    <row r="65" spans="1:45" ht="75" x14ac:dyDescent="0.25">
      <c r="A65" s="22" t="s">
        <v>452</v>
      </c>
      <c r="B65" s="172"/>
      <c r="C65" s="23">
        <v>64</v>
      </c>
      <c r="D65" s="318" t="s">
        <v>759</v>
      </c>
      <c r="E65" s="318" t="s">
        <v>759</v>
      </c>
      <c r="F65" s="318" t="s">
        <v>759</v>
      </c>
      <c r="G65" s="318" t="s">
        <v>477</v>
      </c>
      <c r="H65" s="318" t="s">
        <v>477</v>
      </c>
      <c r="I65" s="47" t="s">
        <v>20</v>
      </c>
      <c r="J65" s="18">
        <v>34</v>
      </c>
      <c r="K65" s="18">
        <f>J65*Y65</f>
        <v>127500</v>
      </c>
      <c r="L65" s="19"/>
      <c r="M65" s="19"/>
      <c r="N65" s="19"/>
      <c r="O65" s="19"/>
      <c r="P65" s="19"/>
      <c r="Q65" s="19"/>
      <c r="R65" s="19"/>
      <c r="S65" s="19"/>
      <c r="T65" s="19"/>
      <c r="U65" s="19"/>
      <c r="V65" s="19"/>
      <c r="W65" s="19"/>
      <c r="X65" s="19"/>
      <c r="Y65" s="16">
        <v>3750</v>
      </c>
      <c r="Z65" s="19"/>
      <c r="AA65" s="19"/>
      <c r="AB65" s="19"/>
      <c r="AC65" s="19"/>
      <c r="AD65" s="19"/>
      <c r="AE65" s="19"/>
      <c r="AF65" s="19"/>
      <c r="AG65" s="19"/>
      <c r="AH65" s="19"/>
      <c r="AI65" s="19"/>
      <c r="AJ65" s="19"/>
      <c r="AK65" s="19"/>
      <c r="AL65" s="19"/>
      <c r="AM65" s="19"/>
      <c r="AN65" s="19"/>
      <c r="AO65" s="19"/>
      <c r="AP65" s="19">
        <f t="shared" si="0"/>
        <v>3750</v>
      </c>
      <c r="AQ65" s="21">
        <f t="shared" si="1"/>
        <v>127500</v>
      </c>
      <c r="AR65" s="19">
        <f t="shared" si="2"/>
        <v>106250</v>
      </c>
      <c r="AS65" s="19">
        <v>106250</v>
      </c>
    </row>
    <row r="66" spans="1:45" ht="135" x14ac:dyDescent="0.25">
      <c r="A66" s="22" t="s">
        <v>506</v>
      </c>
      <c r="B66" s="172">
        <v>20</v>
      </c>
      <c r="C66" s="23">
        <v>65</v>
      </c>
      <c r="D66" s="317" t="s">
        <v>555</v>
      </c>
      <c r="E66" s="317" t="s">
        <v>555</v>
      </c>
      <c r="F66" s="317" t="s">
        <v>555</v>
      </c>
      <c r="G66" s="317" t="s">
        <v>557</v>
      </c>
      <c r="H66" s="317" t="s">
        <v>557</v>
      </c>
      <c r="I66" s="16" t="s">
        <v>20</v>
      </c>
      <c r="J66" s="104">
        <v>72</v>
      </c>
      <c r="K66" s="172">
        <v>144000</v>
      </c>
      <c r="L66" s="19"/>
      <c r="M66" s="19"/>
      <c r="N66" s="19"/>
      <c r="O66" s="19"/>
      <c r="P66" s="19"/>
      <c r="Q66" s="19"/>
      <c r="R66" s="19"/>
      <c r="S66" s="19"/>
      <c r="T66" s="19"/>
      <c r="U66" s="19"/>
      <c r="V66" s="19"/>
      <c r="W66" s="19"/>
      <c r="X66" s="19"/>
      <c r="Y66" s="19"/>
      <c r="Z66" s="19"/>
      <c r="AA66" s="176">
        <v>2000</v>
      </c>
      <c r="AB66" s="19"/>
      <c r="AC66" s="19"/>
      <c r="AD66" s="19"/>
      <c r="AE66" s="19"/>
      <c r="AF66" s="19"/>
      <c r="AG66" s="19"/>
      <c r="AH66" s="19"/>
      <c r="AI66" s="19"/>
      <c r="AJ66" s="19"/>
      <c r="AK66" s="19"/>
      <c r="AL66" s="19"/>
      <c r="AM66" s="19"/>
      <c r="AN66" s="19"/>
      <c r="AO66" s="19"/>
      <c r="AP66" s="19">
        <f t="shared" ref="AP66:AP129" si="3">SUM(L66:AO66)</f>
        <v>2000</v>
      </c>
      <c r="AQ66" s="21">
        <f t="shared" si="1"/>
        <v>144000</v>
      </c>
      <c r="AR66" s="19">
        <f t="shared" si="2"/>
        <v>120000</v>
      </c>
      <c r="AS66" s="19">
        <v>120000</v>
      </c>
    </row>
    <row r="67" spans="1:45" ht="75" x14ac:dyDescent="0.25">
      <c r="A67" s="22"/>
      <c r="B67" s="23">
        <v>1</v>
      </c>
      <c r="C67" s="23">
        <v>66</v>
      </c>
      <c r="D67" s="297" t="s">
        <v>34</v>
      </c>
      <c r="E67" s="297" t="s">
        <v>34</v>
      </c>
      <c r="F67" s="297" t="s">
        <v>34</v>
      </c>
      <c r="G67" s="297" t="s">
        <v>35</v>
      </c>
      <c r="H67" s="297" t="s">
        <v>35</v>
      </c>
      <c r="I67" s="16" t="s">
        <v>20</v>
      </c>
      <c r="J67" s="18">
        <v>17.600000000000001</v>
      </c>
      <c r="K67" s="18">
        <f>J67*O67</f>
        <v>26400.000000000004</v>
      </c>
      <c r="L67" s="19"/>
      <c r="M67" s="19"/>
      <c r="N67" s="19"/>
      <c r="O67" s="16">
        <v>1500</v>
      </c>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f t="shared" si="3"/>
        <v>1500</v>
      </c>
      <c r="AQ67" s="21">
        <f t="shared" ref="AQ67:AQ130" si="4">AP67*J67</f>
        <v>26400.000000000004</v>
      </c>
      <c r="AR67" s="19">
        <f t="shared" ref="AR67:AR130" si="5">AQ67/1.2</f>
        <v>22000.000000000004</v>
      </c>
      <c r="AS67" s="19">
        <v>22000</v>
      </c>
    </row>
    <row r="68" spans="1:45" ht="75" x14ac:dyDescent="0.25">
      <c r="A68" s="22" t="s">
        <v>33</v>
      </c>
      <c r="B68" s="23">
        <v>2</v>
      </c>
      <c r="C68" s="23">
        <v>67</v>
      </c>
      <c r="D68" s="297" t="s">
        <v>37</v>
      </c>
      <c r="E68" s="297" t="s">
        <v>37</v>
      </c>
      <c r="F68" s="297" t="s">
        <v>37</v>
      </c>
      <c r="G68" s="297" t="s">
        <v>38</v>
      </c>
      <c r="H68" s="297" t="s">
        <v>38</v>
      </c>
      <c r="I68" s="16" t="s">
        <v>20</v>
      </c>
      <c r="J68" s="17">
        <v>48.7</v>
      </c>
      <c r="K68" s="18">
        <f>J68*O68</f>
        <v>9740</v>
      </c>
      <c r="L68" s="19"/>
      <c r="M68" s="19"/>
      <c r="N68" s="19"/>
      <c r="O68" s="16">
        <v>200</v>
      </c>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f t="shared" si="3"/>
        <v>200</v>
      </c>
      <c r="AQ68" s="21">
        <f t="shared" si="4"/>
        <v>9740</v>
      </c>
      <c r="AR68" s="19">
        <f t="shared" si="5"/>
        <v>8116.666666666667</v>
      </c>
      <c r="AS68" s="19">
        <v>8116.67</v>
      </c>
    </row>
    <row r="69" spans="1:45" ht="75" x14ac:dyDescent="0.25">
      <c r="A69" s="22" t="s">
        <v>506</v>
      </c>
      <c r="B69" s="172">
        <v>8</v>
      </c>
      <c r="C69" s="23">
        <v>68</v>
      </c>
      <c r="D69" s="315" t="s">
        <v>522</v>
      </c>
      <c r="E69" s="315" t="s">
        <v>522</v>
      </c>
      <c r="F69" s="315" t="s">
        <v>522</v>
      </c>
      <c r="G69" s="315" t="s">
        <v>523</v>
      </c>
      <c r="H69" s="315" t="s">
        <v>523</v>
      </c>
      <c r="I69" s="16" t="s">
        <v>20</v>
      </c>
      <c r="J69" s="17">
        <v>95</v>
      </c>
      <c r="K69" s="172">
        <v>38000</v>
      </c>
      <c r="L69" s="19"/>
      <c r="M69" s="19"/>
      <c r="N69" s="19"/>
      <c r="O69" s="19"/>
      <c r="P69" s="19"/>
      <c r="Q69" s="19"/>
      <c r="R69" s="19"/>
      <c r="S69" s="19"/>
      <c r="T69" s="19"/>
      <c r="U69" s="19"/>
      <c r="V69" s="19"/>
      <c r="W69" s="19"/>
      <c r="X69" s="19"/>
      <c r="Y69" s="19"/>
      <c r="Z69" s="19"/>
      <c r="AA69" s="176">
        <v>400</v>
      </c>
      <c r="AB69" s="19"/>
      <c r="AC69" s="19"/>
      <c r="AD69" s="19"/>
      <c r="AE69" s="19"/>
      <c r="AF69" s="19"/>
      <c r="AG69" s="19"/>
      <c r="AH69" s="19"/>
      <c r="AI69" s="19"/>
      <c r="AJ69" s="19"/>
      <c r="AK69" s="19"/>
      <c r="AL69" s="19"/>
      <c r="AM69" s="19"/>
      <c r="AN69" s="19"/>
      <c r="AO69" s="19"/>
      <c r="AP69" s="19">
        <f t="shared" si="3"/>
        <v>400</v>
      </c>
      <c r="AQ69" s="21">
        <f t="shared" si="4"/>
        <v>38000</v>
      </c>
      <c r="AR69" s="19">
        <f t="shared" si="5"/>
        <v>31666.666666666668</v>
      </c>
      <c r="AS69" s="19">
        <v>31666.67</v>
      </c>
    </row>
    <row r="70" spans="1:45" ht="45" x14ac:dyDescent="0.25">
      <c r="A70" s="22" t="s">
        <v>506</v>
      </c>
      <c r="B70" s="172">
        <v>9</v>
      </c>
      <c r="C70" s="23">
        <v>69</v>
      </c>
      <c r="D70" s="315" t="s">
        <v>524</v>
      </c>
      <c r="E70" s="315" t="s">
        <v>524</v>
      </c>
      <c r="F70" s="315" t="s">
        <v>524</v>
      </c>
      <c r="G70" s="315" t="s">
        <v>525</v>
      </c>
      <c r="H70" s="315" t="s">
        <v>525</v>
      </c>
      <c r="I70" s="16" t="s">
        <v>20</v>
      </c>
      <c r="J70" s="17">
        <v>95</v>
      </c>
      <c r="K70" s="172">
        <v>38000</v>
      </c>
      <c r="L70" s="19"/>
      <c r="M70" s="19"/>
      <c r="N70" s="19"/>
      <c r="O70" s="19"/>
      <c r="P70" s="19"/>
      <c r="Q70" s="19"/>
      <c r="R70" s="19"/>
      <c r="S70" s="19"/>
      <c r="T70" s="19"/>
      <c r="U70" s="19"/>
      <c r="V70" s="19"/>
      <c r="W70" s="19"/>
      <c r="X70" s="19"/>
      <c r="Y70" s="19"/>
      <c r="Z70" s="19"/>
      <c r="AA70" s="176">
        <v>400</v>
      </c>
      <c r="AB70" s="19"/>
      <c r="AC70" s="19"/>
      <c r="AD70" s="19"/>
      <c r="AE70" s="19"/>
      <c r="AF70" s="19"/>
      <c r="AG70" s="19"/>
      <c r="AH70" s="19"/>
      <c r="AI70" s="19"/>
      <c r="AJ70" s="19"/>
      <c r="AK70" s="19"/>
      <c r="AL70" s="19"/>
      <c r="AM70" s="19"/>
      <c r="AN70" s="19"/>
      <c r="AO70" s="19"/>
      <c r="AP70" s="19">
        <f t="shared" si="3"/>
        <v>400</v>
      </c>
      <c r="AQ70" s="21">
        <f t="shared" si="4"/>
        <v>38000</v>
      </c>
      <c r="AR70" s="19">
        <f t="shared" si="5"/>
        <v>31666.666666666668</v>
      </c>
      <c r="AS70" s="19">
        <v>31666.67</v>
      </c>
    </row>
    <row r="71" spans="1:45" ht="165" x14ac:dyDescent="0.25">
      <c r="A71" s="22" t="s">
        <v>179</v>
      </c>
      <c r="B71" s="23">
        <v>10</v>
      </c>
      <c r="C71" s="23">
        <v>70</v>
      </c>
      <c r="D71" s="275" t="s">
        <v>198</v>
      </c>
      <c r="E71" s="275" t="s">
        <v>198</v>
      </c>
      <c r="F71" s="275" t="s">
        <v>198</v>
      </c>
      <c r="G71" s="275" t="s">
        <v>199</v>
      </c>
      <c r="H71" s="275" t="s">
        <v>199</v>
      </c>
      <c r="I71" s="16" t="s">
        <v>20</v>
      </c>
      <c r="J71" s="17">
        <v>50</v>
      </c>
      <c r="K71" s="18">
        <f>J71*U71</f>
        <v>25000</v>
      </c>
      <c r="L71" s="19"/>
      <c r="M71" s="19"/>
      <c r="N71" s="19"/>
      <c r="O71" s="19"/>
      <c r="P71" s="19"/>
      <c r="Q71" s="19"/>
      <c r="R71" s="19"/>
      <c r="S71" s="19"/>
      <c r="T71" s="19"/>
      <c r="U71" s="16">
        <v>500</v>
      </c>
      <c r="V71" s="19"/>
      <c r="W71" s="19"/>
      <c r="X71" s="19"/>
      <c r="Y71" s="19"/>
      <c r="Z71" s="19"/>
      <c r="AA71" s="19"/>
      <c r="AB71" s="19"/>
      <c r="AC71" s="19"/>
      <c r="AD71" s="19"/>
      <c r="AE71" s="19"/>
      <c r="AF71" s="19"/>
      <c r="AG71" s="19"/>
      <c r="AH71" s="19"/>
      <c r="AI71" s="19"/>
      <c r="AJ71" s="19"/>
      <c r="AK71" s="19"/>
      <c r="AL71" s="19"/>
      <c r="AM71" s="19"/>
      <c r="AN71" s="19"/>
      <c r="AO71" s="19"/>
      <c r="AP71" s="19">
        <f t="shared" si="3"/>
        <v>500</v>
      </c>
      <c r="AQ71" s="21">
        <f t="shared" si="4"/>
        <v>25000</v>
      </c>
      <c r="AR71" s="19">
        <f t="shared" si="5"/>
        <v>20833.333333333336</v>
      </c>
      <c r="AS71" s="19">
        <v>20833.34</v>
      </c>
    </row>
    <row r="72" spans="1:45" ht="90" x14ac:dyDescent="0.25">
      <c r="A72" s="22" t="s">
        <v>713</v>
      </c>
      <c r="B72" s="22" t="s">
        <v>714</v>
      </c>
      <c r="C72" s="23">
        <v>71</v>
      </c>
      <c r="D72" s="319" t="s">
        <v>715</v>
      </c>
      <c r="E72" s="319" t="s">
        <v>715</v>
      </c>
      <c r="F72" s="319" t="s">
        <v>715</v>
      </c>
      <c r="G72" s="319" t="s">
        <v>716</v>
      </c>
      <c r="H72" s="319" t="s">
        <v>716</v>
      </c>
      <c r="I72" s="16" t="s">
        <v>20</v>
      </c>
      <c r="J72" s="10">
        <v>60</v>
      </c>
      <c r="K72" s="18" t="e">
        <f>J72*#REF!</f>
        <v>#REF!</v>
      </c>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22">
        <v>75</v>
      </c>
      <c r="AM72" s="19"/>
      <c r="AN72" s="19"/>
      <c r="AO72" s="19"/>
      <c r="AP72" s="19">
        <f t="shared" si="3"/>
        <v>75</v>
      </c>
      <c r="AQ72" s="21">
        <f t="shared" si="4"/>
        <v>4500</v>
      </c>
      <c r="AR72" s="19">
        <f t="shared" si="5"/>
        <v>3750</v>
      </c>
      <c r="AS72" s="19">
        <v>3750</v>
      </c>
    </row>
    <row r="73" spans="1:45" ht="45" x14ac:dyDescent="0.25">
      <c r="A73" s="22" t="s">
        <v>179</v>
      </c>
      <c r="B73" s="23">
        <v>13</v>
      </c>
      <c r="C73" s="23">
        <v>72</v>
      </c>
      <c r="D73" s="300" t="s">
        <v>207</v>
      </c>
      <c r="E73" s="300" t="s">
        <v>207</v>
      </c>
      <c r="F73" s="300" t="s">
        <v>207</v>
      </c>
      <c r="G73" s="300" t="s">
        <v>207</v>
      </c>
      <c r="H73" s="300" t="s">
        <v>207</v>
      </c>
      <c r="I73" s="16" t="s">
        <v>20</v>
      </c>
      <c r="J73" s="17">
        <v>150</v>
      </c>
      <c r="K73" s="18">
        <f>J73*U73</f>
        <v>15000</v>
      </c>
      <c r="L73" s="19"/>
      <c r="M73" s="19"/>
      <c r="N73" s="19"/>
      <c r="O73" s="19"/>
      <c r="P73" s="19"/>
      <c r="Q73" s="19"/>
      <c r="R73" s="19"/>
      <c r="S73" s="19"/>
      <c r="T73" s="19"/>
      <c r="U73" s="16">
        <v>100</v>
      </c>
      <c r="V73" s="19"/>
      <c r="W73" s="19"/>
      <c r="X73" s="19"/>
      <c r="Y73" s="19"/>
      <c r="Z73" s="19"/>
      <c r="AA73" s="19"/>
      <c r="AB73" s="19"/>
      <c r="AC73" s="19"/>
      <c r="AD73" s="19"/>
      <c r="AE73" s="19"/>
      <c r="AF73" s="19"/>
      <c r="AG73" s="19"/>
      <c r="AH73" s="19"/>
      <c r="AI73" s="19"/>
      <c r="AJ73" s="19"/>
      <c r="AK73" s="19"/>
      <c r="AL73" s="19"/>
      <c r="AM73" s="19"/>
      <c r="AN73" s="19"/>
      <c r="AO73" s="19"/>
      <c r="AP73" s="19">
        <f t="shared" si="3"/>
        <v>100</v>
      </c>
      <c r="AQ73" s="21">
        <f t="shared" si="4"/>
        <v>15000</v>
      </c>
      <c r="AR73" s="19">
        <f t="shared" si="5"/>
        <v>12500</v>
      </c>
      <c r="AS73" s="19">
        <v>12500</v>
      </c>
    </row>
    <row r="74" spans="1:45" ht="60" x14ac:dyDescent="0.25">
      <c r="A74" s="22" t="s">
        <v>592</v>
      </c>
      <c r="B74" s="172"/>
      <c r="C74" s="23">
        <v>73</v>
      </c>
      <c r="D74" s="297" t="s">
        <v>601</v>
      </c>
      <c r="E74" s="297" t="s">
        <v>601</v>
      </c>
      <c r="F74" s="297" t="s">
        <v>601</v>
      </c>
      <c r="G74" s="297" t="s">
        <v>603</v>
      </c>
      <c r="H74" s="297" t="s">
        <v>603</v>
      </c>
      <c r="I74" s="16" t="s">
        <v>20</v>
      </c>
      <c r="J74" s="17">
        <v>45.15</v>
      </c>
      <c r="K74" s="18">
        <f>J74*AD74</f>
        <v>67725</v>
      </c>
      <c r="L74" s="19"/>
      <c r="M74" s="19"/>
      <c r="N74" s="19"/>
      <c r="O74" s="19"/>
      <c r="P74" s="19"/>
      <c r="Q74" s="19"/>
      <c r="R74" s="19"/>
      <c r="S74" s="19"/>
      <c r="T74" s="19"/>
      <c r="U74" s="19"/>
      <c r="V74" s="19"/>
      <c r="W74" s="19"/>
      <c r="X74" s="19"/>
      <c r="Y74" s="19"/>
      <c r="Z74" s="19"/>
      <c r="AA74" s="19"/>
      <c r="AB74" s="19"/>
      <c r="AC74" s="19"/>
      <c r="AD74" s="16">
        <v>1500</v>
      </c>
      <c r="AE74" s="19"/>
      <c r="AF74" s="19"/>
      <c r="AG74" s="19"/>
      <c r="AH74" s="19"/>
      <c r="AI74" s="19"/>
      <c r="AJ74" s="19"/>
      <c r="AK74" s="19"/>
      <c r="AL74" s="19"/>
      <c r="AM74" s="19"/>
      <c r="AN74" s="19"/>
      <c r="AO74" s="19"/>
      <c r="AP74" s="19">
        <f t="shared" si="3"/>
        <v>1500</v>
      </c>
      <c r="AQ74" s="21">
        <f t="shared" si="4"/>
        <v>67725</v>
      </c>
      <c r="AR74" s="19">
        <f t="shared" si="5"/>
        <v>56437.5</v>
      </c>
      <c r="AS74" s="19">
        <v>56437.5</v>
      </c>
    </row>
    <row r="75" spans="1:45" ht="45" x14ac:dyDescent="0.25">
      <c r="A75" s="22"/>
      <c r="B75" s="119">
        <v>1</v>
      </c>
      <c r="C75" s="23">
        <v>74</v>
      </c>
      <c r="D75" s="311" t="s">
        <v>361</v>
      </c>
      <c r="E75" s="311" t="s">
        <v>361</v>
      </c>
      <c r="F75" s="311" t="s">
        <v>361</v>
      </c>
      <c r="G75" s="311" t="s">
        <v>362</v>
      </c>
      <c r="H75" s="311" t="s">
        <v>362</v>
      </c>
      <c r="I75" s="16" t="s">
        <v>20</v>
      </c>
      <c r="J75" s="312">
        <v>4080</v>
      </c>
      <c r="K75" s="313">
        <v>122400</v>
      </c>
      <c r="L75" s="19"/>
      <c r="M75" s="19"/>
      <c r="N75" s="19"/>
      <c r="O75" s="19"/>
      <c r="P75" s="19"/>
      <c r="Q75" s="19"/>
      <c r="R75" s="19"/>
      <c r="S75" s="19"/>
      <c r="T75" s="19"/>
      <c r="U75" s="19"/>
      <c r="V75" s="19"/>
      <c r="W75" s="19"/>
      <c r="X75" s="312">
        <v>30</v>
      </c>
      <c r="Y75" s="19"/>
      <c r="Z75" s="19"/>
      <c r="AA75" s="19"/>
      <c r="AB75" s="19"/>
      <c r="AC75" s="19"/>
      <c r="AD75" s="19"/>
      <c r="AE75" s="19"/>
      <c r="AF75" s="19"/>
      <c r="AG75" s="19"/>
      <c r="AH75" s="19"/>
      <c r="AI75" s="19"/>
      <c r="AJ75" s="19"/>
      <c r="AK75" s="19"/>
      <c r="AL75" s="19"/>
      <c r="AM75" s="19"/>
      <c r="AN75" s="19"/>
      <c r="AO75" s="19"/>
      <c r="AP75" s="19">
        <f t="shared" si="3"/>
        <v>30</v>
      </c>
      <c r="AQ75" s="21">
        <f t="shared" si="4"/>
        <v>122400</v>
      </c>
      <c r="AR75" s="19">
        <f t="shared" si="5"/>
        <v>102000</v>
      </c>
      <c r="AS75" s="19">
        <v>102000</v>
      </c>
    </row>
    <row r="76" spans="1:45" ht="120" x14ac:dyDescent="0.25">
      <c r="A76" s="22" t="s">
        <v>360</v>
      </c>
      <c r="B76" s="119">
        <v>9</v>
      </c>
      <c r="C76" s="23">
        <v>75</v>
      </c>
      <c r="D76" s="311" t="s">
        <v>385</v>
      </c>
      <c r="E76" s="311" t="s">
        <v>385</v>
      </c>
      <c r="F76" s="311" t="s">
        <v>385</v>
      </c>
      <c r="G76" s="311" t="s">
        <v>387</v>
      </c>
      <c r="H76" s="311" t="s">
        <v>387</v>
      </c>
      <c r="I76" s="16" t="s">
        <v>20</v>
      </c>
      <c r="J76" s="312">
        <v>38</v>
      </c>
      <c r="K76" s="313">
        <v>57000</v>
      </c>
      <c r="L76" s="19"/>
      <c r="M76" s="19"/>
      <c r="N76" s="19"/>
      <c r="O76" s="19"/>
      <c r="P76" s="19"/>
      <c r="Q76" s="19"/>
      <c r="R76" s="19"/>
      <c r="S76" s="19"/>
      <c r="T76" s="19"/>
      <c r="U76" s="19"/>
      <c r="V76" s="19"/>
      <c r="W76" s="19"/>
      <c r="X76" s="312">
        <v>1500</v>
      </c>
      <c r="Y76" s="19"/>
      <c r="Z76" s="19"/>
      <c r="AA76" s="19"/>
      <c r="AB76" s="19"/>
      <c r="AC76" s="19"/>
      <c r="AD76" s="19"/>
      <c r="AE76" s="19"/>
      <c r="AF76" s="19"/>
      <c r="AG76" s="19"/>
      <c r="AH76" s="19"/>
      <c r="AI76" s="19"/>
      <c r="AJ76" s="19"/>
      <c r="AK76" s="19"/>
      <c r="AL76" s="19"/>
      <c r="AM76" s="19"/>
      <c r="AN76" s="19"/>
      <c r="AO76" s="19"/>
      <c r="AP76" s="19">
        <f t="shared" si="3"/>
        <v>1500</v>
      </c>
      <c r="AQ76" s="21">
        <f t="shared" si="4"/>
        <v>57000</v>
      </c>
      <c r="AR76" s="19">
        <f t="shared" si="5"/>
        <v>47500</v>
      </c>
      <c r="AS76" s="19">
        <v>47500</v>
      </c>
    </row>
    <row r="77" spans="1:45" ht="57" customHeight="1" x14ac:dyDescent="0.25">
      <c r="A77" s="22" t="s">
        <v>360</v>
      </c>
      <c r="B77" s="119">
        <v>20</v>
      </c>
      <c r="C77" s="371">
        <v>76</v>
      </c>
      <c r="D77" s="320" t="s">
        <v>420</v>
      </c>
      <c r="E77" s="320" t="s">
        <v>420</v>
      </c>
      <c r="F77" s="320" t="s">
        <v>420</v>
      </c>
      <c r="G77" s="311" t="s">
        <v>422</v>
      </c>
      <c r="H77" s="362" t="s">
        <v>793</v>
      </c>
      <c r="I77" s="16" t="s">
        <v>20</v>
      </c>
      <c r="J77" s="312">
        <v>120</v>
      </c>
      <c r="K77" s="313">
        <v>15600</v>
      </c>
      <c r="L77" s="19"/>
      <c r="M77" s="19"/>
      <c r="N77" s="19"/>
      <c r="O77" s="19"/>
      <c r="P77" s="19"/>
      <c r="Q77" s="19"/>
      <c r="R77" s="19"/>
      <c r="S77" s="19"/>
      <c r="T77" s="19"/>
      <c r="U77" s="19"/>
      <c r="V77" s="19"/>
      <c r="W77" s="19"/>
      <c r="X77" s="312">
        <v>130</v>
      </c>
      <c r="Y77" s="19"/>
      <c r="Z77" s="19"/>
      <c r="AA77" s="19"/>
      <c r="AB77" s="19"/>
      <c r="AC77" s="19"/>
      <c r="AD77" s="19"/>
      <c r="AE77" s="19"/>
      <c r="AF77" s="19"/>
      <c r="AG77" s="19"/>
      <c r="AH77" s="19"/>
      <c r="AI77" s="19"/>
      <c r="AJ77" s="19"/>
      <c r="AK77" s="19"/>
      <c r="AL77" s="19"/>
      <c r="AM77" s="19"/>
      <c r="AN77" s="19"/>
      <c r="AO77" s="19"/>
      <c r="AP77" s="19">
        <f t="shared" si="3"/>
        <v>130</v>
      </c>
      <c r="AQ77" s="21">
        <f t="shared" si="4"/>
        <v>15600</v>
      </c>
      <c r="AR77" s="19">
        <f t="shared" si="5"/>
        <v>13000</v>
      </c>
      <c r="AS77" s="19">
        <v>13000</v>
      </c>
    </row>
    <row r="78" spans="1:45" ht="45" x14ac:dyDescent="0.25">
      <c r="A78" s="22" t="s">
        <v>360</v>
      </c>
      <c r="B78" s="119">
        <v>19</v>
      </c>
      <c r="C78" s="23">
        <v>77</v>
      </c>
      <c r="D78" s="320" t="s">
        <v>417</v>
      </c>
      <c r="E78" s="320" t="s">
        <v>417</v>
      </c>
      <c r="F78" s="320" t="s">
        <v>417</v>
      </c>
      <c r="G78" s="311" t="s">
        <v>418</v>
      </c>
      <c r="H78" s="311" t="s">
        <v>418</v>
      </c>
      <c r="I78" s="16" t="s">
        <v>20</v>
      </c>
      <c r="J78" s="312">
        <v>200</v>
      </c>
      <c r="K78" s="313">
        <v>10000</v>
      </c>
      <c r="L78" s="19"/>
      <c r="M78" s="19"/>
      <c r="N78" s="19"/>
      <c r="O78" s="19"/>
      <c r="P78" s="19"/>
      <c r="Q78" s="19"/>
      <c r="R78" s="19"/>
      <c r="S78" s="19"/>
      <c r="T78" s="19"/>
      <c r="U78" s="19"/>
      <c r="V78" s="19"/>
      <c r="W78" s="19"/>
      <c r="X78" s="312">
        <v>50</v>
      </c>
      <c r="Y78" s="19"/>
      <c r="Z78" s="19"/>
      <c r="AA78" s="19"/>
      <c r="AB78" s="19"/>
      <c r="AC78" s="19"/>
      <c r="AD78" s="19"/>
      <c r="AE78" s="19"/>
      <c r="AF78" s="19"/>
      <c r="AG78" s="19"/>
      <c r="AH78" s="19"/>
      <c r="AI78" s="19"/>
      <c r="AJ78" s="19"/>
      <c r="AK78" s="19"/>
      <c r="AL78" s="19"/>
      <c r="AM78" s="19"/>
      <c r="AN78" s="19"/>
      <c r="AO78" s="19"/>
      <c r="AP78" s="19">
        <f t="shared" si="3"/>
        <v>50</v>
      </c>
      <c r="AQ78" s="21">
        <f t="shared" si="4"/>
        <v>10000</v>
      </c>
      <c r="AR78" s="19">
        <f t="shared" si="5"/>
        <v>8333.3333333333339</v>
      </c>
      <c r="AS78" s="19">
        <v>8333.34</v>
      </c>
    </row>
    <row r="79" spans="1:45" ht="135" x14ac:dyDescent="0.25">
      <c r="A79" s="22" t="s">
        <v>360</v>
      </c>
      <c r="B79" s="119">
        <v>10</v>
      </c>
      <c r="C79" s="23">
        <v>78</v>
      </c>
      <c r="D79" s="311" t="s">
        <v>388</v>
      </c>
      <c r="E79" s="311" t="s">
        <v>388</v>
      </c>
      <c r="F79" s="311" t="s">
        <v>388</v>
      </c>
      <c r="G79" s="311" t="s">
        <v>390</v>
      </c>
      <c r="H79" s="311" t="s">
        <v>390</v>
      </c>
      <c r="I79" s="16" t="s">
        <v>20</v>
      </c>
      <c r="J79" s="312">
        <v>57</v>
      </c>
      <c r="K79" s="313">
        <v>57000</v>
      </c>
      <c r="L79" s="19"/>
      <c r="M79" s="19"/>
      <c r="N79" s="19"/>
      <c r="O79" s="19"/>
      <c r="P79" s="19"/>
      <c r="Q79" s="19"/>
      <c r="R79" s="19"/>
      <c r="S79" s="19"/>
      <c r="T79" s="19"/>
      <c r="U79" s="19"/>
      <c r="V79" s="19"/>
      <c r="W79" s="19"/>
      <c r="X79" s="312">
        <v>1000</v>
      </c>
      <c r="Y79" s="19"/>
      <c r="Z79" s="19"/>
      <c r="AA79" s="19"/>
      <c r="AB79" s="19"/>
      <c r="AC79" s="19"/>
      <c r="AD79" s="19"/>
      <c r="AE79" s="19"/>
      <c r="AF79" s="19"/>
      <c r="AG79" s="19"/>
      <c r="AH79" s="19"/>
      <c r="AI79" s="19"/>
      <c r="AJ79" s="19"/>
      <c r="AK79" s="19"/>
      <c r="AL79" s="19"/>
      <c r="AM79" s="19"/>
      <c r="AN79" s="19"/>
      <c r="AO79" s="19"/>
      <c r="AP79" s="19">
        <f t="shared" si="3"/>
        <v>1000</v>
      </c>
      <c r="AQ79" s="21">
        <f t="shared" si="4"/>
        <v>57000</v>
      </c>
      <c r="AR79" s="19">
        <f t="shared" si="5"/>
        <v>47500</v>
      </c>
      <c r="AS79" s="19">
        <v>47500</v>
      </c>
    </row>
    <row r="80" spans="1:45" ht="165" x14ac:dyDescent="0.25">
      <c r="A80" s="22" t="s">
        <v>179</v>
      </c>
      <c r="B80" s="23">
        <v>2</v>
      </c>
      <c r="C80" s="23">
        <v>79</v>
      </c>
      <c r="D80" s="300" t="s">
        <v>182</v>
      </c>
      <c r="E80" s="300" t="s">
        <v>182</v>
      </c>
      <c r="F80" s="300" t="s">
        <v>182</v>
      </c>
      <c r="G80" s="300" t="s">
        <v>183</v>
      </c>
      <c r="H80" s="300" t="s">
        <v>183</v>
      </c>
      <c r="I80" s="16" t="s">
        <v>20</v>
      </c>
      <c r="J80" s="17">
        <v>20</v>
      </c>
      <c r="K80" s="18">
        <f>J80*U80</f>
        <v>160000</v>
      </c>
      <c r="L80" s="19"/>
      <c r="M80" s="19"/>
      <c r="N80" s="19"/>
      <c r="O80" s="19"/>
      <c r="P80" s="19"/>
      <c r="Q80" s="19"/>
      <c r="R80" s="19"/>
      <c r="S80" s="19"/>
      <c r="T80" s="19"/>
      <c r="U80" s="16">
        <v>8000</v>
      </c>
      <c r="V80" s="19"/>
      <c r="W80" s="19"/>
      <c r="X80" s="19"/>
      <c r="Y80" s="19"/>
      <c r="Z80" s="19"/>
      <c r="AA80" s="19"/>
      <c r="AB80" s="19"/>
      <c r="AC80" s="19"/>
      <c r="AD80" s="19"/>
      <c r="AE80" s="19"/>
      <c r="AF80" s="19"/>
      <c r="AG80" s="19"/>
      <c r="AH80" s="19"/>
      <c r="AI80" s="19"/>
      <c r="AJ80" s="19"/>
      <c r="AK80" s="19"/>
      <c r="AL80" s="19"/>
      <c r="AM80" s="19"/>
      <c r="AN80" s="19"/>
      <c r="AO80" s="19"/>
      <c r="AP80" s="19">
        <f t="shared" si="3"/>
        <v>8000</v>
      </c>
      <c r="AQ80" s="21">
        <f t="shared" si="4"/>
        <v>160000</v>
      </c>
      <c r="AR80" s="19">
        <f t="shared" si="5"/>
        <v>133333.33333333334</v>
      </c>
      <c r="AS80" s="19">
        <v>133333.34</v>
      </c>
    </row>
    <row r="81" spans="1:45" ht="30" x14ac:dyDescent="0.25">
      <c r="A81" s="22" t="s">
        <v>658</v>
      </c>
      <c r="B81" s="205">
        <v>8</v>
      </c>
      <c r="C81" s="23">
        <v>80</v>
      </c>
      <c r="D81" s="302" t="s">
        <v>670</v>
      </c>
      <c r="E81" s="302" t="s">
        <v>670</v>
      </c>
      <c r="F81" s="302" t="s">
        <v>670</v>
      </c>
      <c r="G81" s="302" t="s">
        <v>670</v>
      </c>
      <c r="H81" s="302" t="s">
        <v>670</v>
      </c>
      <c r="I81" s="16" t="s">
        <v>20</v>
      </c>
      <c r="J81" s="104">
        <v>450</v>
      </c>
      <c r="K81" s="207">
        <v>450</v>
      </c>
      <c r="L81" s="19"/>
      <c r="M81" s="19"/>
      <c r="N81" s="19"/>
      <c r="O81" s="19"/>
      <c r="P81" s="19"/>
      <c r="Q81" s="19"/>
      <c r="R81" s="19"/>
      <c r="S81" s="19"/>
      <c r="T81" s="19"/>
      <c r="U81" s="19"/>
      <c r="V81" s="19"/>
      <c r="W81" s="19"/>
      <c r="X81" s="19"/>
      <c r="Y81" s="19"/>
      <c r="Z81" s="19"/>
      <c r="AA81" s="19"/>
      <c r="AB81" s="19"/>
      <c r="AC81" s="19"/>
      <c r="AD81" s="19"/>
      <c r="AE81" s="19"/>
      <c r="AF81" s="19"/>
      <c r="AG81" s="174">
        <v>5</v>
      </c>
      <c r="AH81" s="19"/>
      <c r="AI81" s="19"/>
      <c r="AJ81" s="19"/>
      <c r="AK81" s="19"/>
      <c r="AL81" s="19"/>
      <c r="AM81" s="19"/>
      <c r="AN81" s="19"/>
      <c r="AO81" s="19"/>
      <c r="AP81" s="19">
        <f t="shared" si="3"/>
        <v>5</v>
      </c>
      <c r="AQ81" s="21">
        <f t="shared" si="4"/>
        <v>2250</v>
      </c>
      <c r="AR81" s="19">
        <f t="shared" si="5"/>
        <v>1875</v>
      </c>
      <c r="AS81" s="19">
        <v>1875</v>
      </c>
    </row>
    <row r="82" spans="1:45" ht="30" x14ac:dyDescent="0.25">
      <c r="A82" s="22" t="s">
        <v>452</v>
      </c>
      <c r="B82" s="172"/>
      <c r="C82" s="23">
        <v>81</v>
      </c>
      <c r="D82" s="12" t="s">
        <v>479</v>
      </c>
      <c r="E82" s="12" t="s">
        <v>479</v>
      </c>
      <c r="F82" s="12" t="s">
        <v>479</v>
      </c>
      <c r="G82" s="12" t="s">
        <v>480</v>
      </c>
      <c r="H82" s="12" t="s">
        <v>480</v>
      </c>
      <c r="I82" s="59" t="s">
        <v>781</v>
      </c>
      <c r="J82" s="18">
        <v>100</v>
      </c>
      <c r="K82" s="18">
        <f>J82*Y82</f>
        <v>500</v>
      </c>
      <c r="L82" s="19"/>
      <c r="M82" s="19"/>
      <c r="N82" s="19"/>
      <c r="O82" s="19"/>
      <c r="P82" s="19"/>
      <c r="Q82" s="19"/>
      <c r="R82" s="19"/>
      <c r="S82" s="19"/>
      <c r="T82" s="19"/>
      <c r="U82" s="19"/>
      <c r="V82" s="19"/>
      <c r="W82" s="19"/>
      <c r="X82" s="19"/>
      <c r="Y82" s="59">
        <v>5</v>
      </c>
      <c r="Z82" s="19"/>
      <c r="AA82" s="19"/>
      <c r="AB82" s="19"/>
      <c r="AC82" s="19"/>
      <c r="AD82" s="19"/>
      <c r="AE82" s="19"/>
      <c r="AF82" s="19"/>
      <c r="AG82" s="19"/>
      <c r="AH82" s="19"/>
      <c r="AI82" s="19"/>
      <c r="AJ82" s="19"/>
      <c r="AK82" s="19"/>
      <c r="AL82" s="19"/>
      <c r="AM82" s="19"/>
      <c r="AN82" s="19"/>
      <c r="AO82" s="19"/>
      <c r="AP82" s="19">
        <f t="shared" si="3"/>
        <v>5</v>
      </c>
      <c r="AQ82" s="21">
        <f t="shared" si="4"/>
        <v>500</v>
      </c>
      <c r="AR82" s="19">
        <f t="shared" si="5"/>
        <v>416.66666666666669</v>
      </c>
      <c r="AS82" s="19">
        <v>416.67</v>
      </c>
    </row>
    <row r="83" spans="1:45" ht="45" x14ac:dyDescent="0.25">
      <c r="A83" s="22" t="s">
        <v>160</v>
      </c>
      <c r="B83" s="43">
        <v>4</v>
      </c>
      <c r="C83" s="23">
        <v>82</v>
      </c>
      <c r="D83" s="299" t="s">
        <v>173</v>
      </c>
      <c r="E83" s="299" t="s">
        <v>173</v>
      </c>
      <c r="F83" s="299" t="s">
        <v>173</v>
      </c>
      <c r="G83" s="299" t="s">
        <v>174</v>
      </c>
      <c r="H83" s="299" t="s">
        <v>174</v>
      </c>
      <c r="I83" s="16" t="s">
        <v>20</v>
      </c>
      <c r="J83" s="104">
        <v>45</v>
      </c>
      <c r="K83" s="66">
        <v>225</v>
      </c>
      <c r="L83" s="19"/>
      <c r="M83" s="19"/>
      <c r="N83" s="19"/>
      <c r="O83" s="19"/>
      <c r="P83" s="19"/>
      <c r="Q83" s="19"/>
      <c r="R83" s="19"/>
      <c r="S83" s="19"/>
      <c r="T83" s="65">
        <v>5</v>
      </c>
      <c r="U83" s="19"/>
      <c r="V83" s="19"/>
      <c r="W83" s="19"/>
      <c r="X83" s="19"/>
      <c r="Y83" s="19"/>
      <c r="Z83" s="19"/>
      <c r="AA83" s="19"/>
      <c r="AB83" s="19"/>
      <c r="AC83" s="19"/>
      <c r="AD83" s="19"/>
      <c r="AE83" s="19"/>
      <c r="AF83" s="19"/>
      <c r="AG83" s="19"/>
      <c r="AH83" s="19"/>
      <c r="AI83" s="19"/>
      <c r="AJ83" s="19"/>
      <c r="AK83" s="19"/>
      <c r="AL83" s="19"/>
      <c r="AM83" s="19"/>
      <c r="AN83" s="19"/>
      <c r="AO83" s="19"/>
      <c r="AP83" s="19">
        <f t="shared" si="3"/>
        <v>5</v>
      </c>
      <c r="AQ83" s="21">
        <f t="shared" si="4"/>
        <v>225</v>
      </c>
      <c r="AR83" s="19">
        <f t="shared" si="5"/>
        <v>187.5</v>
      </c>
      <c r="AS83" s="19">
        <v>187.5</v>
      </c>
    </row>
    <row r="84" spans="1:45" ht="60" x14ac:dyDescent="0.25">
      <c r="A84" s="22" t="s">
        <v>360</v>
      </c>
      <c r="B84" s="119">
        <v>25</v>
      </c>
      <c r="C84" s="23">
        <v>83</v>
      </c>
      <c r="D84" s="320" t="s">
        <v>435</v>
      </c>
      <c r="E84" s="320" t="s">
        <v>435</v>
      </c>
      <c r="F84" s="320" t="s">
        <v>435</v>
      </c>
      <c r="G84" s="311" t="s">
        <v>436</v>
      </c>
      <c r="H84" s="311" t="s">
        <v>436</v>
      </c>
      <c r="I84" s="16" t="s">
        <v>20</v>
      </c>
      <c r="J84" s="321">
        <v>30</v>
      </c>
      <c r="K84" s="313">
        <v>900</v>
      </c>
      <c r="L84" s="19"/>
      <c r="M84" s="19"/>
      <c r="N84" s="19"/>
      <c r="O84" s="19"/>
      <c r="P84" s="19"/>
      <c r="Q84" s="19"/>
      <c r="R84" s="19"/>
      <c r="S84" s="19"/>
      <c r="T84" s="19"/>
      <c r="U84" s="19"/>
      <c r="V84" s="19"/>
      <c r="W84" s="19"/>
      <c r="X84" s="312">
        <v>30</v>
      </c>
      <c r="Y84" s="19"/>
      <c r="Z84" s="19"/>
      <c r="AA84" s="19"/>
      <c r="AB84" s="19"/>
      <c r="AC84" s="19"/>
      <c r="AD84" s="19"/>
      <c r="AE84" s="19"/>
      <c r="AF84" s="19"/>
      <c r="AG84" s="19"/>
      <c r="AH84" s="19"/>
      <c r="AI84" s="19"/>
      <c r="AJ84" s="19"/>
      <c r="AK84" s="19"/>
      <c r="AL84" s="19"/>
      <c r="AM84" s="19"/>
      <c r="AN84" s="19"/>
      <c r="AO84" s="19"/>
      <c r="AP84" s="19">
        <f t="shared" si="3"/>
        <v>30</v>
      </c>
      <c r="AQ84" s="21">
        <f t="shared" si="4"/>
        <v>900</v>
      </c>
      <c r="AR84" s="19">
        <f t="shared" si="5"/>
        <v>750</v>
      </c>
      <c r="AS84" s="19">
        <v>750</v>
      </c>
    </row>
    <row r="85" spans="1:45" ht="60" x14ac:dyDescent="0.25">
      <c r="A85" s="22" t="s">
        <v>360</v>
      </c>
      <c r="B85" s="119">
        <v>24</v>
      </c>
      <c r="C85" s="23">
        <v>84</v>
      </c>
      <c r="D85" s="320" t="s">
        <v>433</v>
      </c>
      <c r="E85" s="320" t="s">
        <v>433</v>
      </c>
      <c r="F85" s="320" t="s">
        <v>433</v>
      </c>
      <c r="G85" s="311" t="s">
        <v>434</v>
      </c>
      <c r="H85" s="311" t="s">
        <v>434</v>
      </c>
      <c r="I85" s="16" t="s">
        <v>20</v>
      </c>
      <c r="J85" s="321">
        <v>100</v>
      </c>
      <c r="K85" s="313">
        <v>400</v>
      </c>
      <c r="L85" s="19"/>
      <c r="M85" s="19"/>
      <c r="N85" s="19"/>
      <c r="O85" s="19"/>
      <c r="P85" s="19"/>
      <c r="Q85" s="19"/>
      <c r="R85" s="19"/>
      <c r="S85" s="19"/>
      <c r="T85" s="19"/>
      <c r="U85" s="19"/>
      <c r="V85" s="19"/>
      <c r="W85" s="19"/>
      <c r="X85" s="312">
        <v>4</v>
      </c>
      <c r="Y85" s="19"/>
      <c r="Z85" s="19"/>
      <c r="AA85" s="19"/>
      <c r="AB85" s="19"/>
      <c r="AC85" s="19"/>
      <c r="AD85" s="19"/>
      <c r="AE85" s="19"/>
      <c r="AF85" s="19"/>
      <c r="AG85" s="19"/>
      <c r="AH85" s="19"/>
      <c r="AI85" s="19"/>
      <c r="AJ85" s="19"/>
      <c r="AK85" s="19"/>
      <c r="AL85" s="19"/>
      <c r="AM85" s="19"/>
      <c r="AN85" s="19"/>
      <c r="AO85" s="19"/>
      <c r="AP85" s="19">
        <f t="shared" si="3"/>
        <v>4</v>
      </c>
      <c r="AQ85" s="21">
        <f t="shared" si="4"/>
        <v>400</v>
      </c>
      <c r="AR85" s="19">
        <f t="shared" si="5"/>
        <v>333.33333333333337</v>
      </c>
      <c r="AS85" s="19">
        <v>333.34</v>
      </c>
    </row>
    <row r="86" spans="1:45" ht="57" customHeight="1" x14ac:dyDescent="0.25">
      <c r="A86" s="22" t="s">
        <v>452</v>
      </c>
      <c r="B86" s="172"/>
      <c r="C86" s="371">
        <v>85</v>
      </c>
      <c r="D86" s="282" t="s">
        <v>485</v>
      </c>
      <c r="E86" s="74" t="s">
        <v>794</v>
      </c>
      <c r="F86" s="282" t="s">
        <v>485</v>
      </c>
      <c r="G86" s="282" t="s">
        <v>486</v>
      </c>
      <c r="H86" s="74" t="s">
        <v>795</v>
      </c>
      <c r="I86" s="16" t="s">
        <v>20</v>
      </c>
      <c r="J86" s="18">
        <v>1300</v>
      </c>
      <c r="K86" s="18">
        <f>J86*Y86</f>
        <v>130000</v>
      </c>
      <c r="L86" s="19"/>
      <c r="M86" s="19"/>
      <c r="N86" s="19"/>
      <c r="O86" s="19"/>
      <c r="P86" s="19"/>
      <c r="Q86" s="19"/>
      <c r="R86" s="19"/>
      <c r="S86" s="19"/>
      <c r="T86" s="19"/>
      <c r="U86" s="19"/>
      <c r="V86" s="19"/>
      <c r="W86" s="19"/>
      <c r="X86" s="19"/>
      <c r="Y86" s="17">
        <v>100</v>
      </c>
      <c r="Z86" s="19"/>
      <c r="AA86" s="19"/>
      <c r="AB86" s="19"/>
      <c r="AC86" s="19"/>
      <c r="AD86" s="19"/>
      <c r="AE86" s="19"/>
      <c r="AF86" s="19"/>
      <c r="AG86" s="19"/>
      <c r="AH86" s="19"/>
      <c r="AI86" s="19"/>
      <c r="AJ86" s="19"/>
      <c r="AK86" s="19"/>
      <c r="AL86" s="19"/>
      <c r="AM86" s="19"/>
      <c r="AN86" s="19"/>
      <c r="AO86" s="19"/>
      <c r="AP86" s="19">
        <f t="shared" si="3"/>
        <v>100</v>
      </c>
      <c r="AQ86" s="21">
        <f t="shared" si="4"/>
        <v>130000</v>
      </c>
      <c r="AR86" s="19">
        <f t="shared" si="5"/>
        <v>108333.33333333334</v>
      </c>
      <c r="AS86" s="19">
        <v>108333.34</v>
      </c>
    </row>
    <row r="87" spans="1:45" ht="60" x14ac:dyDescent="0.25">
      <c r="A87" s="22"/>
      <c r="B87" s="322">
        <v>1</v>
      </c>
      <c r="C87" s="23">
        <v>86</v>
      </c>
      <c r="D87" s="317" t="s">
        <v>694</v>
      </c>
      <c r="E87" s="317" t="s">
        <v>694</v>
      </c>
      <c r="F87" s="317" t="s">
        <v>694</v>
      </c>
      <c r="G87" s="317" t="s">
        <v>696</v>
      </c>
      <c r="H87" s="317" t="s">
        <v>696</v>
      </c>
      <c r="I87" s="16" t="s">
        <v>20</v>
      </c>
      <c r="J87" s="323">
        <v>17.04</v>
      </c>
      <c r="K87" s="207">
        <v>170.39999999999998</v>
      </c>
      <c r="L87" s="19"/>
      <c r="M87" s="19"/>
      <c r="N87" s="19"/>
      <c r="O87" s="19"/>
      <c r="P87" s="19"/>
      <c r="Q87" s="19"/>
      <c r="R87" s="19"/>
      <c r="S87" s="19"/>
      <c r="T87" s="19"/>
      <c r="U87" s="19"/>
      <c r="V87" s="19"/>
      <c r="W87" s="19"/>
      <c r="X87" s="19"/>
      <c r="Y87" s="19"/>
      <c r="Z87" s="19"/>
      <c r="AA87" s="19"/>
      <c r="AB87" s="19"/>
      <c r="AC87" s="19"/>
      <c r="AD87" s="19"/>
      <c r="AE87" s="19"/>
      <c r="AF87" s="19"/>
      <c r="AG87" s="19"/>
      <c r="AH87" s="19"/>
      <c r="AI87" s="322">
        <v>10</v>
      </c>
      <c r="AJ87" s="19"/>
      <c r="AK87" s="19"/>
      <c r="AL87" s="19"/>
      <c r="AM87" s="19"/>
      <c r="AN87" s="19"/>
      <c r="AO87" s="19"/>
      <c r="AP87" s="19">
        <f t="shared" si="3"/>
        <v>10</v>
      </c>
      <c r="AQ87" s="21">
        <f t="shared" si="4"/>
        <v>170.39999999999998</v>
      </c>
      <c r="AR87" s="19">
        <f t="shared" si="5"/>
        <v>142</v>
      </c>
      <c r="AS87" s="19">
        <v>142</v>
      </c>
    </row>
    <row r="88" spans="1:45" ht="45" x14ac:dyDescent="0.25">
      <c r="A88" s="22" t="s">
        <v>308</v>
      </c>
      <c r="B88" s="43">
        <v>3</v>
      </c>
      <c r="C88" s="23">
        <v>87</v>
      </c>
      <c r="D88" s="299" t="s">
        <v>347</v>
      </c>
      <c r="E88" s="299" t="s">
        <v>347</v>
      </c>
      <c r="F88" s="299" t="s">
        <v>347</v>
      </c>
      <c r="G88" s="299" t="s">
        <v>349</v>
      </c>
      <c r="H88" s="299" t="s">
        <v>349</v>
      </c>
      <c r="I88" s="16" t="s">
        <v>20</v>
      </c>
      <c r="J88" s="49">
        <v>2</v>
      </c>
      <c r="K88" s="49">
        <v>100</v>
      </c>
      <c r="L88" s="19"/>
      <c r="M88" s="19"/>
      <c r="N88" s="19"/>
      <c r="O88" s="19"/>
      <c r="P88" s="19"/>
      <c r="Q88" s="19"/>
      <c r="R88" s="19"/>
      <c r="S88" s="19"/>
      <c r="T88" s="19"/>
      <c r="U88" s="19"/>
      <c r="V88" s="19"/>
      <c r="W88" s="47">
        <v>50</v>
      </c>
      <c r="X88" s="19"/>
      <c r="Y88" s="19"/>
      <c r="Z88" s="19"/>
      <c r="AA88" s="19"/>
      <c r="AB88" s="19"/>
      <c r="AC88" s="19"/>
      <c r="AD88" s="19"/>
      <c r="AE88" s="19"/>
      <c r="AF88" s="19"/>
      <c r="AG88" s="19"/>
      <c r="AH88" s="19"/>
      <c r="AI88" s="19"/>
      <c r="AJ88" s="19"/>
      <c r="AK88" s="19"/>
      <c r="AL88" s="19"/>
      <c r="AM88" s="19"/>
      <c r="AN88" s="19"/>
      <c r="AO88" s="19"/>
      <c r="AP88" s="19">
        <f t="shared" si="3"/>
        <v>50</v>
      </c>
      <c r="AQ88" s="21">
        <f t="shared" si="4"/>
        <v>100</v>
      </c>
      <c r="AR88" s="19">
        <f t="shared" si="5"/>
        <v>83.333333333333343</v>
      </c>
      <c r="AS88" s="19">
        <v>83.34</v>
      </c>
    </row>
    <row r="89" spans="1:45" ht="45" x14ac:dyDescent="0.25">
      <c r="A89" s="22" t="s">
        <v>592</v>
      </c>
      <c r="B89" s="172"/>
      <c r="C89" s="23">
        <v>88</v>
      </c>
      <c r="D89" s="297" t="s">
        <v>747</v>
      </c>
      <c r="E89" s="297" t="s">
        <v>747</v>
      </c>
      <c r="F89" s="297" t="s">
        <v>747</v>
      </c>
      <c r="G89" s="297" t="s">
        <v>746</v>
      </c>
      <c r="H89" s="297" t="s">
        <v>746</v>
      </c>
      <c r="I89" s="16" t="s">
        <v>20</v>
      </c>
      <c r="J89" s="17">
        <v>16</v>
      </c>
      <c r="K89" s="18">
        <f>J89*AD89</f>
        <v>400</v>
      </c>
      <c r="L89" s="19"/>
      <c r="M89" s="19"/>
      <c r="N89" s="19"/>
      <c r="O89" s="19"/>
      <c r="P89" s="19"/>
      <c r="Q89" s="19"/>
      <c r="R89" s="19"/>
      <c r="S89" s="19"/>
      <c r="T89" s="19"/>
      <c r="U89" s="19"/>
      <c r="V89" s="19"/>
      <c r="W89" s="19"/>
      <c r="X89" s="19"/>
      <c r="Y89" s="19"/>
      <c r="Z89" s="19"/>
      <c r="AA89" s="19"/>
      <c r="AB89" s="19"/>
      <c r="AC89" s="19"/>
      <c r="AD89" s="16">
        <v>25</v>
      </c>
      <c r="AE89" s="19"/>
      <c r="AF89" s="19"/>
      <c r="AG89" s="19"/>
      <c r="AH89" s="19"/>
      <c r="AI89" s="19"/>
      <c r="AJ89" s="19"/>
      <c r="AK89" s="19"/>
      <c r="AL89" s="19"/>
      <c r="AM89" s="19"/>
      <c r="AN89" s="19"/>
      <c r="AO89" s="19"/>
      <c r="AP89" s="19">
        <f t="shared" si="3"/>
        <v>25</v>
      </c>
      <c r="AQ89" s="21">
        <f t="shared" si="4"/>
        <v>400</v>
      </c>
      <c r="AR89" s="19">
        <f t="shared" si="5"/>
        <v>333.33333333333337</v>
      </c>
      <c r="AS89" s="19">
        <v>333.34</v>
      </c>
    </row>
    <row r="90" spans="1:45" ht="30" x14ac:dyDescent="0.25">
      <c r="A90" s="22" t="s">
        <v>592</v>
      </c>
      <c r="B90" s="172"/>
      <c r="C90" s="23">
        <v>89</v>
      </c>
      <c r="D90" s="297" t="s">
        <v>604</v>
      </c>
      <c r="E90" s="297" t="s">
        <v>604</v>
      </c>
      <c r="F90" s="297" t="s">
        <v>604</v>
      </c>
      <c r="G90" s="297" t="s">
        <v>604</v>
      </c>
      <c r="H90" s="297" t="s">
        <v>604</v>
      </c>
      <c r="I90" s="16" t="s">
        <v>20</v>
      </c>
      <c r="J90" s="17">
        <v>150</v>
      </c>
      <c r="K90" s="18">
        <f>J90*AD90</f>
        <v>900</v>
      </c>
      <c r="L90" s="19"/>
      <c r="M90" s="19"/>
      <c r="N90" s="19"/>
      <c r="O90" s="19"/>
      <c r="P90" s="19"/>
      <c r="Q90" s="19"/>
      <c r="R90" s="19"/>
      <c r="S90" s="19"/>
      <c r="T90" s="19"/>
      <c r="U90" s="19"/>
      <c r="V90" s="19"/>
      <c r="W90" s="19"/>
      <c r="X90" s="19"/>
      <c r="Y90" s="19"/>
      <c r="Z90" s="19"/>
      <c r="AA90" s="19"/>
      <c r="AB90" s="19"/>
      <c r="AC90" s="19"/>
      <c r="AD90" s="295">
        <v>6</v>
      </c>
      <c r="AE90" s="19"/>
      <c r="AF90" s="19"/>
      <c r="AG90" s="19"/>
      <c r="AH90" s="19"/>
      <c r="AI90" s="19"/>
      <c r="AJ90" s="19"/>
      <c r="AK90" s="19"/>
      <c r="AL90" s="19"/>
      <c r="AM90" s="19"/>
      <c r="AN90" s="19"/>
      <c r="AO90" s="19"/>
      <c r="AP90" s="19">
        <f t="shared" si="3"/>
        <v>6</v>
      </c>
      <c r="AQ90" s="21">
        <f t="shared" si="4"/>
        <v>900</v>
      </c>
      <c r="AR90" s="19">
        <f t="shared" si="5"/>
        <v>750</v>
      </c>
      <c r="AS90" s="19">
        <v>750</v>
      </c>
    </row>
    <row r="91" spans="1:45" ht="45" x14ac:dyDescent="0.25">
      <c r="A91" s="22" t="s">
        <v>592</v>
      </c>
      <c r="B91" s="172"/>
      <c r="C91" s="23">
        <v>90</v>
      </c>
      <c r="D91" s="297" t="s">
        <v>606</v>
      </c>
      <c r="E91" s="297" t="s">
        <v>606</v>
      </c>
      <c r="F91" s="297" t="s">
        <v>606</v>
      </c>
      <c r="G91" s="297" t="s">
        <v>607</v>
      </c>
      <c r="H91" s="297" t="s">
        <v>607</v>
      </c>
      <c r="I91" s="16" t="s">
        <v>20</v>
      </c>
      <c r="J91" s="17">
        <v>25</v>
      </c>
      <c r="K91" s="18">
        <f>J91*AD91</f>
        <v>250</v>
      </c>
      <c r="L91" s="19"/>
      <c r="M91" s="19"/>
      <c r="N91" s="19"/>
      <c r="O91" s="19"/>
      <c r="P91" s="19"/>
      <c r="Q91" s="19"/>
      <c r="R91" s="19"/>
      <c r="S91" s="19"/>
      <c r="T91" s="19"/>
      <c r="U91" s="19"/>
      <c r="V91" s="19"/>
      <c r="W91" s="19"/>
      <c r="X91" s="19"/>
      <c r="Y91" s="19"/>
      <c r="Z91" s="19"/>
      <c r="AA91" s="19"/>
      <c r="AB91" s="19"/>
      <c r="AC91" s="19"/>
      <c r="AD91" s="295">
        <v>10</v>
      </c>
      <c r="AE91" s="19"/>
      <c r="AF91" s="19"/>
      <c r="AG91" s="19"/>
      <c r="AH91" s="19"/>
      <c r="AI91" s="19"/>
      <c r="AJ91" s="19"/>
      <c r="AK91" s="19"/>
      <c r="AL91" s="19"/>
      <c r="AM91" s="19"/>
      <c r="AN91" s="19"/>
      <c r="AO91" s="19"/>
      <c r="AP91" s="19">
        <f t="shared" si="3"/>
        <v>10</v>
      </c>
      <c r="AQ91" s="21">
        <f t="shared" si="4"/>
        <v>250</v>
      </c>
      <c r="AR91" s="19">
        <f t="shared" si="5"/>
        <v>208.33333333333334</v>
      </c>
      <c r="AS91" s="19">
        <v>208.34</v>
      </c>
    </row>
    <row r="92" spans="1:45" ht="30" x14ac:dyDescent="0.25">
      <c r="A92" s="22" t="s">
        <v>592</v>
      </c>
      <c r="B92" s="172"/>
      <c r="C92" s="23">
        <v>91</v>
      </c>
      <c r="D92" s="297" t="s">
        <v>609</v>
      </c>
      <c r="E92" s="297" t="s">
        <v>609</v>
      </c>
      <c r="F92" s="297" t="s">
        <v>609</v>
      </c>
      <c r="G92" s="297" t="s">
        <v>611</v>
      </c>
      <c r="H92" s="297" t="s">
        <v>611</v>
      </c>
      <c r="I92" s="16" t="s">
        <v>20</v>
      </c>
      <c r="J92" s="17">
        <v>1</v>
      </c>
      <c r="K92" s="18">
        <f>J92*AD92</f>
        <v>8000</v>
      </c>
      <c r="L92" s="19"/>
      <c r="M92" s="19"/>
      <c r="N92" s="19"/>
      <c r="O92" s="19"/>
      <c r="P92" s="19"/>
      <c r="Q92" s="19"/>
      <c r="R92" s="19"/>
      <c r="S92" s="19"/>
      <c r="T92" s="19"/>
      <c r="U92" s="19"/>
      <c r="V92" s="19"/>
      <c r="W92" s="19"/>
      <c r="X92" s="19"/>
      <c r="Y92" s="19"/>
      <c r="Z92" s="19"/>
      <c r="AA92" s="19"/>
      <c r="AB92" s="19"/>
      <c r="AC92" s="19"/>
      <c r="AD92" s="16">
        <v>8000</v>
      </c>
      <c r="AE92" s="19"/>
      <c r="AF92" s="19"/>
      <c r="AG92" s="19"/>
      <c r="AH92" s="19"/>
      <c r="AI92" s="19"/>
      <c r="AJ92" s="19"/>
      <c r="AK92" s="19"/>
      <c r="AL92" s="19"/>
      <c r="AM92" s="19"/>
      <c r="AN92" s="19"/>
      <c r="AO92" s="19"/>
      <c r="AP92" s="19">
        <f t="shared" si="3"/>
        <v>8000</v>
      </c>
      <c r="AQ92" s="21">
        <f t="shared" si="4"/>
        <v>8000</v>
      </c>
      <c r="AR92" s="19">
        <f t="shared" si="5"/>
        <v>6666.666666666667</v>
      </c>
      <c r="AS92" s="19">
        <v>6666.67</v>
      </c>
    </row>
    <row r="93" spans="1:45" ht="120" x14ac:dyDescent="0.25">
      <c r="A93" s="22" t="s">
        <v>360</v>
      </c>
      <c r="B93" s="119">
        <v>30</v>
      </c>
      <c r="C93" s="23">
        <v>92</v>
      </c>
      <c r="D93" s="311" t="s">
        <v>449</v>
      </c>
      <c r="E93" s="311" t="s">
        <v>449</v>
      </c>
      <c r="F93" s="311" t="s">
        <v>449</v>
      </c>
      <c r="G93" s="311" t="s">
        <v>451</v>
      </c>
      <c r="H93" s="311" t="s">
        <v>451</v>
      </c>
      <c r="I93" s="16" t="s">
        <v>20</v>
      </c>
      <c r="J93" s="324">
        <v>44.01</v>
      </c>
      <c r="K93" s="313">
        <v>440.09999999999997</v>
      </c>
      <c r="L93" s="19"/>
      <c r="M93" s="19"/>
      <c r="N93" s="19"/>
      <c r="O93" s="19"/>
      <c r="P93" s="19"/>
      <c r="Q93" s="19"/>
      <c r="R93" s="19"/>
      <c r="S93" s="19"/>
      <c r="T93" s="19"/>
      <c r="U93" s="19"/>
      <c r="V93" s="19"/>
      <c r="W93" s="19"/>
      <c r="X93" s="312">
        <v>10</v>
      </c>
      <c r="Y93" s="19"/>
      <c r="Z93" s="19"/>
      <c r="AA93" s="19"/>
      <c r="AB93" s="19"/>
      <c r="AC93" s="19"/>
      <c r="AD93" s="19"/>
      <c r="AE93" s="19"/>
      <c r="AF93" s="19"/>
      <c r="AG93" s="19"/>
      <c r="AH93" s="19"/>
      <c r="AI93" s="19"/>
      <c r="AJ93" s="19"/>
      <c r="AK93" s="19"/>
      <c r="AL93" s="19"/>
      <c r="AM93" s="19"/>
      <c r="AN93" s="19"/>
      <c r="AO93" s="19"/>
      <c r="AP93" s="19">
        <f t="shared" si="3"/>
        <v>10</v>
      </c>
      <c r="AQ93" s="21">
        <f t="shared" si="4"/>
        <v>440.09999999999997</v>
      </c>
      <c r="AR93" s="19">
        <f t="shared" si="5"/>
        <v>366.75</v>
      </c>
      <c r="AS93" s="19">
        <v>366.75</v>
      </c>
    </row>
    <row r="94" spans="1:45" ht="270" x14ac:dyDescent="0.25">
      <c r="A94" s="22" t="s">
        <v>572</v>
      </c>
      <c r="B94" s="205">
        <v>4</v>
      </c>
      <c r="C94" s="23">
        <v>93</v>
      </c>
      <c r="D94" s="325" t="s">
        <v>579</v>
      </c>
      <c r="E94" s="325" t="s">
        <v>579</v>
      </c>
      <c r="F94" s="325" t="s">
        <v>579</v>
      </c>
      <c r="G94" s="325" t="s">
        <v>580</v>
      </c>
      <c r="H94" s="325" t="s">
        <v>580</v>
      </c>
      <c r="I94" s="16" t="s">
        <v>20</v>
      </c>
      <c r="J94" s="288">
        <v>1000</v>
      </c>
      <c r="K94" s="289">
        <v>10000</v>
      </c>
      <c r="L94" s="19"/>
      <c r="M94" s="19"/>
      <c r="N94" s="19"/>
      <c r="O94" s="19"/>
      <c r="P94" s="19"/>
      <c r="Q94" s="19"/>
      <c r="R94" s="19"/>
      <c r="S94" s="19"/>
      <c r="T94" s="19"/>
      <c r="U94" s="19"/>
      <c r="V94" s="19"/>
      <c r="W94" s="19"/>
      <c r="X94" s="19"/>
      <c r="Y94" s="19"/>
      <c r="Z94" s="19"/>
      <c r="AA94" s="19"/>
      <c r="AB94" s="174">
        <v>10</v>
      </c>
      <c r="AC94" s="19"/>
      <c r="AD94" s="19"/>
      <c r="AE94" s="19"/>
      <c r="AF94" s="19"/>
      <c r="AG94" s="19"/>
      <c r="AH94" s="19"/>
      <c r="AI94" s="19"/>
      <c r="AJ94" s="19"/>
      <c r="AK94" s="19"/>
      <c r="AL94" s="19"/>
      <c r="AM94" s="19"/>
      <c r="AN94" s="19"/>
      <c r="AO94" s="19"/>
      <c r="AP94" s="19">
        <f t="shared" si="3"/>
        <v>10</v>
      </c>
      <c r="AQ94" s="21">
        <f t="shared" si="4"/>
        <v>10000</v>
      </c>
      <c r="AR94" s="19">
        <f t="shared" si="5"/>
        <v>8333.3333333333339</v>
      </c>
      <c r="AS94" s="19">
        <v>8333.34</v>
      </c>
    </row>
    <row r="95" spans="1:45" ht="270" x14ac:dyDescent="0.25">
      <c r="A95" s="22" t="s">
        <v>572</v>
      </c>
      <c r="B95" s="205">
        <v>5</v>
      </c>
      <c r="C95" s="23">
        <v>94</v>
      </c>
      <c r="D95" s="325" t="s">
        <v>581</v>
      </c>
      <c r="E95" s="325" t="s">
        <v>581</v>
      </c>
      <c r="F95" s="325" t="s">
        <v>581</v>
      </c>
      <c r="G95" s="325" t="s">
        <v>582</v>
      </c>
      <c r="H95" s="325" t="s">
        <v>582</v>
      </c>
      <c r="I95" s="16" t="s">
        <v>20</v>
      </c>
      <c r="J95" s="288">
        <v>1100</v>
      </c>
      <c r="K95" s="289">
        <v>11000</v>
      </c>
      <c r="L95" s="19"/>
      <c r="M95" s="19"/>
      <c r="N95" s="19"/>
      <c r="O95" s="19"/>
      <c r="P95" s="19"/>
      <c r="Q95" s="19"/>
      <c r="R95" s="19"/>
      <c r="S95" s="19"/>
      <c r="T95" s="19"/>
      <c r="U95" s="19"/>
      <c r="V95" s="19"/>
      <c r="W95" s="19"/>
      <c r="X95" s="19"/>
      <c r="Y95" s="19"/>
      <c r="Z95" s="19"/>
      <c r="AA95" s="19"/>
      <c r="AB95" s="174">
        <v>10</v>
      </c>
      <c r="AC95" s="19"/>
      <c r="AD95" s="19"/>
      <c r="AE95" s="19"/>
      <c r="AF95" s="19"/>
      <c r="AG95" s="19"/>
      <c r="AH95" s="19"/>
      <c r="AI95" s="19"/>
      <c r="AJ95" s="19"/>
      <c r="AK95" s="19"/>
      <c r="AL95" s="19"/>
      <c r="AM95" s="19"/>
      <c r="AN95" s="19"/>
      <c r="AO95" s="19"/>
      <c r="AP95" s="19">
        <f t="shared" si="3"/>
        <v>10</v>
      </c>
      <c r="AQ95" s="21">
        <f t="shared" si="4"/>
        <v>11000</v>
      </c>
      <c r="AR95" s="19">
        <f t="shared" si="5"/>
        <v>9166.6666666666679</v>
      </c>
      <c r="AS95" s="19">
        <v>9166.67</v>
      </c>
    </row>
    <row r="96" spans="1:45" ht="225" x14ac:dyDescent="0.25">
      <c r="A96" s="22" t="s">
        <v>506</v>
      </c>
      <c r="B96" s="326">
        <v>3</v>
      </c>
      <c r="C96" s="23">
        <v>95</v>
      </c>
      <c r="D96" s="301" t="s">
        <v>510</v>
      </c>
      <c r="E96" s="301" t="s">
        <v>510</v>
      </c>
      <c r="F96" s="301" t="s">
        <v>510</v>
      </c>
      <c r="G96" s="301" t="s">
        <v>511</v>
      </c>
      <c r="H96" s="301" t="s">
        <v>511</v>
      </c>
      <c r="I96" s="16" t="s">
        <v>20</v>
      </c>
      <c r="J96" s="207">
        <v>10</v>
      </c>
      <c r="K96" s="305">
        <v>300</v>
      </c>
      <c r="L96" s="19"/>
      <c r="M96" s="19"/>
      <c r="N96" s="19"/>
      <c r="O96" s="19"/>
      <c r="P96" s="19"/>
      <c r="Q96" s="19"/>
      <c r="R96" s="19"/>
      <c r="S96" s="19"/>
      <c r="T96" s="19"/>
      <c r="U96" s="19"/>
      <c r="V96" s="19"/>
      <c r="W96" s="19"/>
      <c r="X96" s="19"/>
      <c r="Y96" s="19"/>
      <c r="Z96" s="19"/>
      <c r="AA96" s="327">
        <v>30</v>
      </c>
      <c r="AB96" s="19"/>
      <c r="AC96" s="19"/>
      <c r="AD96" s="19"/>
      <c r="AE96" s="19"/>
      <c r="AF96" s="19"/>
      <c r="AG96" s="19"/>
      <c r="AH96" s="19"/>
      <c r="AI96" s="19"/>
      <c r="AJ96" s="19"/>
      <c r="AK96" s="19"/>
      <c r="AL96" s="19"/>
      <c r="AM96" s="19"/>
      <c r="AN96" s="19"/>
      <c r="AO96" s="19"/>
      <c r="AP96" s="19">
        <f t="shared" si="3"/>
        <v>30</v>
      </c>
      <c r="AQ96" s="21">
        <f t="shared" si="4"/>
        <v>300</v>
      </c>
      <c r="AR96" s="19">
        <f t="shared" si="5"/>
        <v>250</v>
      </c>
      <c r="AS96" s="19">
        <v>250</v>
      </c>
    </row>
    <row r="97" spans="1:45" ht="45" x14ac:dyDescent="0.25">
      <c r="A97" s="308" t="s">
        <v>717</v>
      </c>
      <c r="B97" s="328">
        <v>22</v>
      </c>
      <c r="C97" s="23">
        <v>96</v>
      </c>
      <c r="D97" s="329" t="s">
        <v>719</v>
      </c>
      <c r="E97" s="329" t="s">
        <v>719</v>
      </c>
      <c r="F97" s="329" t="s">
        <v>719</v>
      </c>
      <c r="G97" s="330" t="s">
        <v>719</v>
      </c>
      <c r="H97" s="330" t="s">
        <v>719</v>
      </c>
      <c r="I97" s="16" t="s">
        <v>20</v>
      </c>
      <c r="J97" s="331">
        <v>10</v>
      </c>
      <c r="K97" s="18" t="e">
        <f>J97*#REF!</f>
        <v>#REF!</v>
      </c>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331">
        <v>18</v>
      </c>
      <c r="AM97" s="19"/>
      <c r="AN97" s="19"/>
      <c r="AO97" s="19"/>
      <c r="AP97" s="19">
        <f t="shared" si="3"/>
        <v>18</v>
      </c>
      <c r="AQ97" s="21">
        <f t="shared" si="4"/>
        <v>180</v>
      </c>
      <c r="AR97" s="19">
        <f t="shared" si="5"/>
        <v>150</v>
      </c>
      <c r="AS97" s="19">
        <v>150</v>
      </c>
    </row>
    <row r="98" spans="1:45" ht="60" x14ac:dyDescent="0.25">
      <c r="A98" s="308" t="s">
        <v>722</v>
      </c>
      <c r="B98" s="332" t="s">
        <v>723</v>
      </c>
      <c r="C98" s="23">
        <v>97</v>
      </c>
      <c r="D98" s="330" t="s">
        <v>725</v>
      </c>
      <c r="E98" s="330" t="s">
        <v>725</v>
      </c>
      <c r="F98" s="330" t="s">
        <v>725</v>
      </c>
      <c r="G98" s="330" t="s">
        <v>728</v>
      </c>
      <c r="H98" s="330" t="s">
        <v>728</v>
      </c>
      <c r="I98" s="16" t="s">
        <v>20</v>
      </c>
      <c r="J98" s="16">
        <v>15</v>
      </c>
      <c r="K98" s="18">
        <f>J98*AM98</f>
        <v>150</v>
      </c>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333">
        <v>10</v>
      </c>
      <c r="AN98" s="19"/>
      <c r="AO98" s="19"/>
      <c r="AP98" s="19">
        <f t="shared" si="3"/>
        <v>10</v>
      </c>
      <c r="AQ98" s="21">
        <f t="shared" si="4"/>
        <v>150</v>
      </c>
      <c r="AR98" s="19">
        <f t="shared" si="5"/>
        <v>125</v>
      </c>
      <c r="AS98" s="19">
        <v>125</v>
      </c>
    </row>
    <row r="99" spans="1:45" ht="60" x14ac:dyDescent="0.25">
      <c r="A99" s="22" t="s">
        <v>179</v>
      </c>
      <c r="B99" s="23">
        <v>5</v>
      </c>
      <c r="C99" s="23">
        <v>98</v>
      </c>
      <c r="D99" s="300" t="s">
        <v>191</v>
      </c>
      <c r="E99" s="300" t="s">
        <v>191</v>
      </c>
      <c r="F99" s="300" t="s">
        <v>191</v>
      </c>
      <c r="G99" s="300" t="s">
        <v>192</v>
      </c>
      <c r="H99" s="300" t="s">
        <v>192</v>
      </c>
      <c r="I99" s="16" t="s">
        <v>20</v>
      </c>
      <c r="J99" s="17">
        <v>20</v>
      </c>
      <c r="K99" s="18">
        <f>J99*U99</f>
        <v>1000</v>
      </c>
      <c r="L99" s="19"/>
      <c r="M99" s="19"/>
      <c r="N99" s="19"/>
      <c r="O99" s="19"/>
      <c r="P99" s="19"/>
      <c r="Q99" s="19"/>
      <c r="R99" s="19"/>
      <c r="S99" s="19"/>
      <c r="T99" s="19"/>
      <c r="U99" s="16">
        <v>50</v>
      </c>
      <c r="V99" s="19"/>
      <c r="W99" s="19"/>
      <c r="X99" s="19"/>
      <c r="Y99" s="19"/>
      <c r="Z99" s="19"/>
      <c r="AA99" s="19"/>
      <c r="AB99" s="19"/>
      <c r="AC99" s="19"/>
      <c r="AD99" s="19"/>
      <c r="AE99" s="19"/>
      <c r="AF99" s="19"/>
      <c r="AG99" s="19"/>
      <c r="AH99" s="19"/>
      <c r="AI99" s="19"/>
      <c r="AJ99" s="19"/>
      <c r="AK99" s="19"/>
      <c r="AL99" s="19"/>
      <c r="AM99" s="19"/>
      <c r="AN99" s="19"/>
      <c r="AO99" s="19"/>
      <c r="AP99" s="19">
        <f t="shared" si="3"/>
        <v>50</v>
      </c>
      <c r="AQ99" s="21">
        <f t="shared" si="4"/>
        <v>1000</v>
      </c>
      <c r="AR99" s="19">
        <f t="shared" si="5"/>
        <v>833.33333333333337</v>
      </c>
      <c r="AS99" s="19">
        <v>833.34</v>
      </c>
    </row>
    <row r="100" spans="1:45" ht="45" x14ac:dyDescent="0.25">
      <c r="A100" s="19"/>
      <c r="B100" s="23">
        <v>1</v>
      </c>
      <c r="C100" s="23">
        <v>99</v>
      </c>
      <c r="D100" s="297" t="s">
        <v>23</v>
      </c>
      <c r="E100" s="297" t="s">
        <v>23</v>
      </c>
      <c r="F100" s="297" t="s">
        <v>23</v>
      </c>
      <c r="G100" s="297" t="s">
        <v>25</v>
      </c>
      <c r="H100" s="297" t="s">
        <v>25</v>
      </c>
      <c r="I100" s="16" t="s">
        <v>20</v>
      </c>
      <c r="J100" s="17">
        <v>7</v>
      </c>
      <c r="K100" s="18">
        <f>J100*M100</f>
        <v>175</v>
      </c>
      <c r="L100" s="19"/>
      <c r="M100" s="16">
        <v>25</v>
      </c>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f t="shared" si="3"/>
        <v>25</v>
      </c>
      <c r="AQ100" s="21">
        <f t="shared" si="4"/>
        <v>175</v>
      </c>
      <c r="AR100" s="19">
        <f t="shared" si="5"/>
        <v>145.83333333333334</v>
      </c>
      <c r="AS100" s="19">
        <v>145.84</v>
      </c>
    </row>
    <row r="101" spans="1:45" ht="45" x14ac:dyDescent="0.25">
      <c r="A101" s="308" t="s">
        <v>730</v>
      </c>
      <c r="B101" s="332">
        <v>50</v>
      </c>
      <c r="C101" s="23">
        <v>100</v>
      </c>
      <c r="D101" s="330" t="s">
        <v>732</v>
      </c>
      <c r="E101" s="330" t="s">
        <v>732</v>
      </c>
      <c r="F101" s="330" t="s">
        <v>732</v>
      </c>
      <c r="G101" s="330" t="s">
        <v>732</v>
      </c>
      <c r="H101" s="330" t="s">
        <v>732</v>
      </c>
      <c r="I101" s="16" t="s">
        <v>20</v>
      </c>
      <c r="J101" s="331">
        <v>14</v>
      </c>
      <c r="K101" s="18">
        <f>J101*AN101</f>
        <v>1260</v>
      </c>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75"/>
      <c r="AN101" s="331">
        <v>90</v>
      </c>
      <c r="AO101" s="19"/>
      <c r="AP101" s="19">
        <f t="shared" si="3"/>
        <v>90</v>
      </c>
      <c r="AQ101" s="21">
        <f t="shared" si="4"/>
        <v>1260</v>
      </c>
      <c r="AR101" s="19">
        <f t="shared" si="5"/>
        <v>1050</v>
      </c>
      <c r="AS101" s="19">
        <v>1050</v>
      </c>
    </row>
    <row r="102" spans="1:45" ht="60" x14ac:dyDescent="0.25">
      <c r="A102" s="22" t="s">
        <v>40</v>
      </c>
      <c r="B102" s="43">
        <v>5</v>
      </c>
      <c r="C102" s="23">
        <v>101</v>
      </c>
      <c r="D102" s="299" t="s">
        <v>52</v>
      </c>
      <c r="E102" s="299" t="s">
        <v>52</v>
      </c>
      <c r="F102" s="299" t="s">
        <v>52</v>
      </c>
      <c r="G102" s="299" t="s">
        <v>53</v>
      </c>
      <c r="H102" s="299" t="s">
        <v>53</v>
      </c>
      <c r="I102" s="16" t="s">
        <v>20</v>
      </c>
      <c r="J102" s="17">
        <v>20</v>
      </c>
      <c r="K102" s="49">
        <v>200</v>
      </c>
      <c r="L102" s="19"/>
      <c r="M102" s="19"/>
      <c r="N102" s="19"/>
      <c r="O102" s="19"/>
      <c r="P102" s="47">
        <v>10</v>
      </c>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f t="shared" si="3"/>
        <v>10</v>
      </c>
      <c r="AQ102" s="21">
        <f t="shared" si="4"/>
        <v>200</v>
      </c>
      <c r="AR102" s="19">
        <f t="shared" si="5"/>
        <v>166.66666666666669</v>
      </c>
      <c r="AS102" s="19">
        <v>166.67</v>
      </c>
    </row>
    <row r="103" spans="1:45" ht="30" x14ac:dyDescent="0.25">
      <c r="A103" s="22" t="s">
        <v>572</v>
      </c>
      <c r="B103" s="205">
        <v>10</v>
      </c>
      <c r="C103" s="23">
        <v>102</v>
      </c>
      <c r="D103" s="302" t="s">
        <v>587</v>
      </c>
      <c r="E103" s="302" t="s">
        <v>587</v>
      </c>
      <c r="F103" s="302" t="s">
        <v>587</v>
      </c>
      <c r="G103" s="302" t="s">
        <v>587</v>
      </c>
      <c r="H103" s="302" t="s">
        <v>587</v>
      </c>
      <c r="I103" s="16" t="s">
        <v>20</v>
      </c>
      <c r="J103" s="104">
        <v>100</v>
      </c>
      <c r="K103" s="289">
        <v>20000</v>
      </c>
      <c r="L103" s="19"/>
      <c r="M103" s="19"/>
      <c r="N103" s="19"/>
      <c r="O103" s="19"/>
      <c r="P103" s="19"/>
      <c r="Q103" s="19"/>
      <c r="R103" s="19"/>
      <c r="S103" s="19"/>
      <c r="T103" s="19"/>
      <c r="U103" s="19"/>
      <c r="V103" s="19"/>
      <c r="W103" s="19"/>
      <c r="X103" s="19"/>
      <c r="Y103" s="19"/>
      <c r="Z103" s="19"/>
      <c r="AA103" s="19"/>
      <c r="AB103" s="104">
        <v>200</v>
      </c>
      <c r="AC103" s="19"/>
      <c r="AD103" s="19"/>
      <c r="AE103" s="19"/>
      <c r="AF103" s="19"/>
      <c r="AG103" s="19"/>
      <c r="AH103" s="19"/>
      <c r="AI103" s="19"/>
      <c r="AJ103" s="19"/>
      <c r="AK103" s="19"/>
      <c r="AL103" s="19"/>
      <c r="AM103" s="19"/>
      <c r="AN103" s="19"/>
      <c r="AO103" s="19"/>
      <c r="AP103" s="19">
        <f t="shared" si="3"/>
        <v>200</v>
      </c>
      <c r="AQ103" s="21">
        <f t="shared" si="4"/>
        <v>20000</v>
      </c>
      <c r="AR103" s="19">
        <f t="shared" si="5"/>
        <v>16666.666666666668</v>
      </c>
      <c r="AS103" s="19">
        <v>16666.669999999998</v>
      </c>
    </row>
    <row r="104" spans="1:45" ht="30" x14ac:dyDescent="0.25">
      <c r="A104" s="22" t="s">
        <v>572</v>
      </c>
      <c r="B104" s="205">
        <v>9</v>
      </c>
      <c r="C104" s="23">
        <v>103</v>
      </c>
      <c r="D104" s="302" t="s">
        <v>586</v>
      </c>
      <c r="E104" s="302" t="s">
        <v>586</v>
      </c>
      <c r="F104" s="302" t="s">
        <v>586</v>
      </c>
      <c r="G104" s="302" t="s">
        <v>586</v>
      </c>
      <c r="H104" s="302" t="s">
        <v>586</v>
      </c>
      <c r="I104" s="16" t="s">
        <v>20</v>
      </c>
      <c r="J104" s="104">
        <v>100</v>
      </c>
      <c r="K104" s="289">
        <v>40000</v>
      </c>
      <c r="L104" s="19"/>
      <c r="M104" s="19"/>
      <c r="N104" s="19"/>
      <c r="O104" s="19"/>
      <c r="P104" s="19"/>
      <c r="Q104" s="19"/>
      <c r="R104" s="19"/>
      <c r="S104" s="19"/>
      <c r="T104" s="19"/>
      <c r="U104" s="19"/>
      <c r="V104" s="19"/>
      <c r="W104" s="19"/>
      <c r="X104" s="19"/>
      <c r="Y104" s="19"/>
      <c r="Z104" s="19"/>
      <c r="AA104" s="19"/>
      <c r="AB104" s="174">
        <v>400</v>
      </c>
      <c r="AC104" s="19"/>
      <c r="AD104" s="19"/>
      <c r="AE104" s="19"/>
      <c r="AF104" s="19"/>
      <c r="AG104" s="19"/>
      <c r="AH104" s="19"/>
      <c r="AI104" s="19"/>
      <c r="AJ104" s="19"/>
      <c r="AK104" s="19"/>
      <c r="AL104" s="19"/>
      <c r="AM104" s="19"/>
      <c r="AN104" s="19"/>
      <c r="AO104" s="19"/>
      <c r="AP104" s="19">
        <f t="shared" si="3"/>
        <v>400</v>
      </c>
      <c r="AQ104" s="21">
        <f t="shared" si="4"/>
        <v>40000</v>
      </c>
      <c r="AR104" s="19">
        <f t="shared" si="5"/>
        <v>33333.333333333336</v>
      </c>
      <c r="AS104" s="19">
        <v>33333.340000000004</v>
      </c>
    </row>
    <row r="105" spans="1:45" ht="60" x14ac:dyDescent="0.25">
      <c r="A105" s="22" t="s">
        <v>160</v>
      </c>
      <c r="B105" s="43">
        <v>3</v>
      </c>
      <c r="C105" s="23">
        <v>104</v>
      </c>
      <c r="D105" s="299" t="s">
        <v>170</v>
      </c>
      <c r="E105" s="299" t="s">
        <v>170</v>
      </c>
      <c r="F105" s="299" t="s">
        <v>170</v>
      </c>
      <c r="G105" s="299" t="s">
        <v>171</v>
      </c>
      <c r="H105" s="299" t="s">
        <v>171</v>
      </c>
      <c r="I105" s="16" t="s">
        <v>20</v>
      </c>
      <c r="J105" s="104">
        <v>500</v>
      </c>
      <c r="K105" s="66">
        <v>10000</v>
      </c>
      <c r="L105" s="19"/>
      <c r="M105" s="19"/>
      <c r="N105" s="19"/>
      <c r="O105" s="19"/>
      <c r="P105" s="19"/>
      <c r="Q105" s="19"/>
      <c r="R105" s="19"/>
      <c r="S105" s="19"/>
      <c r="T105" s="65">
        <v>20</v>
      </c>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f t="shared" si="3"/>
        <v>20</v>
      </c>
      <c r="AQ105" s="21">
        <f t="shared" si="4"/>
        <v>10000</v>
      </c>
      <c r="AR105" s="19">
        <f t="shared" si="5"/>
        <v>8333.3333333333339</v>
      </c>
      <c r="AS105" s="19">
        <v>8333.34</v>
      </c>
    </row>
    <row r="106" spans="1:45" ht="45" x14ac:dyDescent="0.25">
      <c r="A106" s="22" t="s">
        <v>76</v>
      </c>
      <c r="B106" s="23">
        <v>14</v>
      </c>
      <c r="C106" s="23">
        <v>105</v>
      </c>
      <c r="D106" s="297" t="s">
        <v>109</v>
      </c>
      <c r="E106" s="297" t="s">
        <v>109</v>
      </c>
      <c r="F106" s="297" t="s">
        <v>109</v>
      </c>
      <c r="G106" s="297" t="s">
        <v>110</v>
      </c>
      <c r="H106" s="297" t="s">
        <v>110</v>
      </c>
      <c r="I106" s="16" t="s">
        <v>20</v>
      </c>
      <c r="J106" s="17">
        <v>4000</v>
      </c>
      <c r="K106" s="18">
        <f>J106*R106</f>
        <v>20000</v>
      </c>
      <c r="L106" s="19"/>
      <c r="M106" s="19"/>
      <c r="N106" s="19"/>
      <c r="O106" s="19"/>
      <c r="P106" s="19"/>
      <c r="Q106" s="19"/>
      <c r="R106" s="16">
        <v>5</v>
      </c>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f t="shared" si="3"/>
        <v>5</v>
      </c>
      <c r="AQ106" s="21">
        <f t="shared" si="4"/>
        <v>20000</v>
      </c>
      <c r="AR106" s="19">
        <f t="shared" si="5"/>
        <v>16666.666666666668</v>
      </c>
      <c r="AS106" s="19">
        <v>16666.669999999998</v>
      </c>
    </row>
    <row r="107" spans="1:45" ht="45" x14ac:dyDescent="0.25">
      <c r="A107" s="22"/>
      <c r="B107" s="205">
        <v>1</v>
      </c>
      <c r="C107" s="23">
        <v>106</v>
      </c>
      <c r="D107" s="302" t="s">
        <v>659</v>
      </c>
      <c r="E107" s="302" t="s">
        <v>659</v>
      </c>
      <c r="F107" s="302" t="s">
        <v>659</v>
      </c>
      <c r="G107" s="302" t="s">
        <v>660</v>
      </c>
      <c r="H107" s="302" t="s">
        <v>660</v>
      </c>
      <c r="I107" s="174" t="s">
        <v>661</v>
      </c>
      <c r="J107" s="288">
        <v>20000</v>
      </c>
      <c r="K107" s="207">
        <v>20000</v>
      </c>
      <c r="L107" s="19"/>
      <c r="M107" s="19"/>
      <c r="N107" s="19"/>
      <c r="O107" s="19"/>
      <c r="P107" s="19"/>
      <c r="Q107" s="19"/>
      <c r="R107" s="19"/>
      <c r="S107" s="19"/>
      <c r="T107" s="19"/>
      <c r="U107" s="19"/>
      <c r="V107" s="19"/>
      <c r="W107" s="19"/>
      <c r="X107" s="19"/>
      <c r="Y107" s="19"/>
      <c r="Z107" s="19"/>
      <c r="AA107" s="19"/>
      <c r="AB107" s="19"/>
      <c r="AC107" s="19"/>
      <c r="AD107" s="19"/>
      <c r="AE107" s="19"/>
      <c r="AF107" s="19"/>
      <c r="AG107" s="174">
        <v>1</v>
      </c>
      <c r="AH107" s="19"/>
      <c r="AI107" s="19"/>
      <c r="AJ107" s="19"/>
      <c r="AK107" s="19"/>
      <c r="AL107" s="19"/>
      <c r="AM107" s="19"/>
      <c r="AN107" s="19"/>
      <c r="AO107" s="19"/>
      <c r="AP107" s="19">
        <f t="shared" si="3"/>
        <v>1</v>
      </c>
      <c r="AQ107" s="21">
        <f t="shared" si="4"/>
        <v>20000</v>
      </c>
      <c r="AR107" s="19">
        <f t="shared" si="5"/>
        <v>16666.666666666668</v>
      </c>
      <c r="AS107" s="19">
        <v>16666.669999999998</v>
      </c>
    </row>
    <row r="108" spans="1:45" ht="45" x14ac:dyDescent="0.25">
      <c r="A108" s="22" t="s">
        <v>658</v>
      </c>
      <c r="B108" s="205">
        <v>2</v>
      </c>
      <c r="C108" s="23">
        <v>107</v>
      </c>
      <c r="D108" s="302" t="s">
        <v>662</v>
      </c>
      <c r="E108" s="302" t="s">
        <v>662</v>
      </c>
      <c r="F108" s="302" t="s">
        <v>662</v>
      </c>
      <c r="G108" s="302" t="s">
        <v>663</v>
      </c>
      <c r="H108" s="302" t="s">
        <v>663</v>
      </c>
      <c r="I108" s="174" t="s">
        <v>661</v>
      </c>
      <c r="J108" s="104">
        <v>13000</v>
      </c>
      <c r="K108" s="207">
        <v>13000</v>
      </c>
      <c r="L108" s="19"/>
      <c r="M108" s="19"/>
      <c r="N108" s="19"/>
      <c r="O108" s="19"/>
      <c r="P108" s="19"/>
      <c r="Q108" s="19"/>
      <c r="R108" s="19"/>
      <c r="S108" s="19"/>
      <c r="T108" s="19"/>
      <c r="U108" s="19"/>
      <c r="V108" s="19"/>
      <c r="W108" s="19"/>
      <c r="X108" s="19"/>
      <c r="Y108" s="19"/>
      <c r="Z108" s="19"/>
      <c r="AA108" s="19"/>
      <c r="AB108" s="19"/>
      <c r="AC108" s="19"/>
      <c r="AD108" s="19"/>
      <c r="AE108" s="19"/>
      <c r="AF108" s="19"/>
      <c r="AG108" s="174">
        <v>1</v>
      </c>
      <c r="AH108" s="19"/>
      <c r="AI108" s="19"/>
      <c r="AJ108" s="19"/>
      <c r="AK108" s="19"/>
      <c r="AL108" s="19"/>
      <c r="AM108" s="19"/>
      <c r="AN108" s="19"/>
      <c r="AO108" s="19"/>
      <c r="AP108" s="19">
        <f t="shared" si="3"/>
        <v>1</v>
      </c>
      <c r="AQ108" s="21">
        <f t="shared" si="4"/>
        <v>13000</v>
      </c>
      <c r="AR108" s="19">
        <f t="shared" si="5"/>
        <v>10833.333333333334</v>
      </c>
      <c r="AS108" s="19">
        <v>10833.34</v>
      </c>
    </row>
    <row r="109" spans="1:45" ht="45" x14ac:dyDescent="0.25">
      <c r="A109" s="22" t="s">
        <v>658</v>
      </c>
      <c r="B109" s="205">
        <v>3</v>
      </c>
      <c r="C109" s="23">
        <v>108</v>
      </c>
      <c r="D109" s="302" t="s">
        <v>664</v>
      </c>
      <c r="E109" s="302" t="s">
        <v>664</v>
      </c>
      <c r="F109" s="302" t="s">
        <v>664</v>
      </c>
      <c r="G109" s="302" t="s">
        <v>665</v>
      </c>
      <c r="H109" s="302" t="s">
        <v>665</v>
      </c>
      <c r="I109" s="174" t="s">
        <v>661</v>
      </c>
      <c r="J109" s="288">
        <v>20000</v>
      </c>
      <c r="K109" s="207">
        <v>20000</v>
      </c>
      <c r="L109" s="19"/>
      <c r="M109" s="19"/>
      <c r="N109" s="19"/>
      <c r="O109" s="19"/>
      <c r="P109" s="19"/>
      <c r="Q109" s="19"/>
      <c r="R109" s="19"/>
      <c r="S109" s="19"/>
      <c r="T109" s="19"/>
      <c r="U109" s="19"/>
      <c r="V109" s="19"/>
      <c r="W109" s="19"/>
      <c r="X109" s="19"/>
      <c r="Y109" s="19"/>
      <c r="Z109" s="19"/>
      <c r="AA109" s="19"/>
      <c r="AB109" s="19"/>
      <c r="AC109" s="19"/>
      <c r="AD109" s="19"/>
      <c r="AE109" s="19"/>
      <c r="AF109" s="19"/>
      <c r="AG109" s="174">
        <v>1</v>
      </c>
      <c r="AH109" s="19"/>
      <c r="AI109" s="19"/>
      <c r="AJ109" s="19"/>
      <c r="AK109" s="19"/>
      <c r="AL109" s="19"/>
      <c r="AM109" s="19"/>
      <c r="AN109" s="19"/>
      <c r="AO109" s="19"/>
      <c r="AP109" s="19">
        <f t="shared" si="3"/>
        <v>1</v>
      </c>
      <c r="AQ109" s="21">
        <f t="shared" si="4"/>
        <v>20000</v>
      </c>
      <c r="AR109" s="19">
        <f t="shared" si="5"/>
        <v>16666.666666666668</v>
      </c>
      <c r="AS109" s="19">
        <v>16666.669999999998</v>
      </c>
    </row>
    <row r="110" spans="1:45" ht="45" x14ac:dyDescent="0.25">
      <c r="A110" s="22" t="s">
        <v>658</v>
      </c>
      <c r="B110" s="205">
        <v>4</v>
      </c>
      <c r="C110" s="23">
        <v>109</v>
      </c>
      <c r="D110" s="302" t="s">
        <v>664</v>
      </c>
      <c r="E110" s="302" t="s">
        <v>664</v>
      </c>
      <c r="F110" s="302" t="s">
        <v>664</v>
      </c>
      <c r="G110" s="302" t="s">
        <v>666</v>
      </c>
      <c r="H110" s="302" t="s">
        <v>666</v>
      </c>
      <c r="I110" s="174" t="s">
        <v>661</v>
      </c>
      <c r="J110" s="104">
        <v>19000</v>
      </c>
      <c r="K110" s="207">
        <v>19000</v>
      </c>
      <c r="L110" s="19"/>
      <c r="M110" s="19"/>
      <c r="N110" s="19"/>
      <c r="O110" s="19"/>
      <c r="P110" s="19"/>
      <c r="Q110" s="19"/>
      <c r="R110" s="19"/>
      <c r="S110" s="19"/>
      <c r="T110" s="19"/>
      <c r="U110" s="19"/>
      <c r="V110" s="19"/>
      <c r="W110" s="19"/>
      <c r="X110" s="19"/>
      <c r="Y110" s="19"/>
      <c r="Z110" s="19"/>
      <c r="AA110" s="19"/>
      <c r="AB110" s="19"/>
      <c r="AC110" s="19"/>
      <c r="AD110" s="19"/>
      <c r="AE110" s="19"/>
      <c r="AF110" s="19"/>
      <c r="AG110" s="174">
        <v>1</v>
      </c>
      <c r="AH110" s="19"/>
      <c r="AI110" s="19"/>
      <c r="AJ110" s="19"/>
      <c r="AK110" s="19"/>
      <c r="AL110" s="19"/>
      <c r="AM110" s="19"/>
      <c r="AN110" s="19"/>
      <c r="AO110" s="19"/>
      <c r="AP110" s="19">
        <f t="shared" si="3"/>
        <v>1</v>
      </c>
      <c r="AQ110" s="21">
        <f t="shared" si="4"/>
        <v>19000</v>
      </c>
      <c r="AR110" s="19">
        <f t="shared" si="5"/>
        <v>15833.333333333334</v>
      </c>
      <c r="AS110" s="19">
        <v>15833.34</v>
      </c>
    </row>
    <row r="111" spans="1:45" ht="45" x14ac:dyDescent="0.25">
      <c r="A111" s="22" t="s">
        <v>658</v>
      </c>
      <c r="B111" s="205">
        <v>5</v>
      </c>
      <c r="C111" s="23">
        <v>110</v>
      </c>
      <c r="D111" s="302" t="s">
        <v>664</v>
      </c>
      <c r="E111" s="302" t="s">
        <v>664</v>
      </c>
      <c r="F111" s="302" t="s">
        <v>664</v>
      </c>
      <c r="G111" s="302" t="s">
        <v>667</v>
      </c>
      <c r="H111" s="302" t="s">
        <v>667</v>
      </c>
      <c r="I111" s="174" t="s">
        <v>661</v>
      </c>
      <c r="J111" s="104">
        <v>15000</v>
      </c>
      <c r="K111" s="207">
        <v>15000</v>
      </c>
      <c r="L111" s="19"/>
      <c r="M111" s="19"/>
      <c r="N111" s="19"/>
      <c r="O111" s="19"/>
      <c r="P111" s="19"/>
      <c r="Q111" s="19"/>
      <c r="R111" s="19"/>
      <c r="S111" s="19"/>
      <c r="T111" s="19"/>
      <c r="U111" s="19"/>
      <c r="V111" s="19"/>
      <c r="W111" s="19"/>
      <c r="X111" s="19"/>
      <c r="Y111" s="19"/>
      <c r="Z111" s="19"/>
      <c r="AA111" s="19"/>
      <c r="AB111" s="19"/>
      <c r="AC111" s="19"/>
      <c r="AD111" s="19"/>
      <c r="AE111" s="19"/>
      <c r="AF111" s="19"/>
      <c r="AG111" s="174">
        <v>1</v>
      </c>
      <c r="AH111" s="19"/>
      <c r="AI111" s="19"/>
      <c r="AJ111" s="19"/>
      <c r="AK111" s="19"/>
      <c r="AL111" s="19"/>
      <c r="AM111" s="19"/>
      <c r="AN111" s="19"/>
      <c r="AO111" s="19"/>
      <c r="AP111" s="19">
        <f t="shared" si="3"/>
        <v>1</v>
      </c>
      <c r="AQ111" s="21">
        <f t="shared" si="4"/>
        <v>15000</v>
      </c>
      <c r="AR111" s="19">
        <f t="shared" si="5"/>
        <v>12500</v>
      </c>
      <c r="AS111" s="19">
        <v>12500</v>
      </c>
    </row>
    <row r="112" spans="1:45" ht="45" x14ac:dyDescent="0.25">
      <c r="A112" s="22" t="s">
        <v>658</v>
      </c>
      <c r="B112" s="205">
        <v>6</v>
      </c>
      <c r="C112" s="23">
        <v>111</v>
      </c>
      <c r="D112" s="302" t="s">
        <v>664</v>
      </c>
      <c r="E112" s="302" t="s">
        <v>664</v>
      </c>
      <c r="F112" s="302" t="s">
        <v>664</v>
      </c>
      <c r="G112" s="302" t="s">
        <v>668</v>
      </c>
      <c r="H112" s="302" t="s">
        <v>668</v>
      </c>
      <c r="I112" s="174" t="s">
        <v>661</v>
      </c>
      <c r="J112" s="104">
        <v>15000</v>
      </c>
      <c r="K112" s="207">
        <v>15000</v>
      </c>
      <c r="L112" s="19"/>
      <c r="M112" s="19"/>
      <c r="N112" s="19"/>
      <c r="O112" s="19"/>
      <c r="P112" s="19"/>
      <c r="Q112" s="19"/>
      <c r="R112" s="19"/>
      <c r="S112" s="19"/>
      <c r="T112" s="19"/>
      <c r="U112" s="19"/>
      <c r="V112" s="19"/>
      <c r="W112" s="19"/>
      <c r="X112" s="19"/>
      <c r="Y112" s="19"/>
      <c r="Z112" s="19"/>
      <c r="AA112" s="19"/>
      <c r="AB112" s="19"/>
      <c r="AC112" s="19"/>
      <c r="AD112" s="19"/>
      <c r="AE112" s="19"/>
      <c r="AF112" s="19"/>
      <c r="AG112" s="174">
        <v>1</v>
      </c>
      <c r="AH112" s="19"/>
      <c r="AI112" s="19"/>
      <c r="AJ112" s="19"/>
      <c r="AK112" s="19"/>
      <c r="AL112" s="19"/>
      <c r="AM112" s="19"/>
      <c r="AN112" s="19"/>
      <c r="AO112" s="19"/>
      <c r="AP112" s="19">
        <f t="shared" si="3"/>
        <v>1</v>
      </c>
      <c r="AQ112" s="21">
        <f t="shared" si="4"/>
        <v>15000</v>
      </c>
      <c r="AR112" s="19">
        <f t="shared" si="5"/>
        <v>12500</v>
      </c>
      <c r="AS112" s="19">
        <v>12500</v>
      </c>
    </row>
    <row r="113" spans="1:45" ht="45" x14ac:dyDescent="0.25">
      <c r="A113" s="22" t="s">
        <v>658</v>
      </c>
      <c r="B113" s="205">
        <v>7</v>
      </c>
      <c r="C113" s="23">
        <v>112</v>
      </c>
      <c r="D113" s="302" t="s">
        <v>664</v>
      </c>
      <c r="E113" s="302" t="s">
        <v>664</v>
      </c>
      <c r="F113" s="302" t="s">
        <v>664</v>
      </c>
      <c r="G113" s="302" t="s">
        <v>669</v>
      </c>
      <c r="H113" s="302" t="s">
        <v>669</v>
      </c>
      <c r="I113" s="174" t="s">
        <v>661</v>
      </c>
      <c r="J113" s="288">
        <v>15000</v>
      </c>
      <c r="K113" s="207">
        <v>15000</v>
      </c>
      <c r="L113" s="19"/>
      <c r="M113" s="19"/>
      <c r="N113" s="19"/>
      <c r="O113" s="19"/>
      <c r="P113" s="19"/>
      <c r="Q113" s="19"/>
      <c r="R113" s="19"/>
      <c r="S113" s="19"/>
      <c r="T113" s="19"/>
      <c r="U113" s="19"/>
      <c r="V113" s="19"/>
      <c r="W113" s="19"/>
      <c r="X113" s="19"/>
      <c r="Y113" s="19"/>
      <c r="Z113" s="19"/>
      <c r="AA113" s="19"/>
      <c r="AB113" s="19"/>
      <c r="AC113" s="19"/>
      <c r="AD113" s="19"/>
      <c r="AE113" s="19"/>
      <c r="AF113" s="19"/>
      <c r="AG113" s="174">
        <v>1</v>
      </c>
      <c r="AH113" s="19"/>
      <c r="AI113" s="19"/>
      <c r="AJ113" s="19"/>
      <c r="AK113" s="19"/>
      <c r="AL113" s="19"/>
      <c r="AM113" s="19"/>
      <c r="AN113" s="19"/>
      <c r="AO113" s="19"/>
      <c r="AP113" s="19">
        <f t="shared" si="3"/>
        <v>1</v>
      </c>
      <c r="AQ113" s="21">
        <f t="shared" si="4"/>
        <v>15000</v>
      </c>
      <c r="AR113" s="19">
        <f t="shared" si="5"/>
        <v>12500</v>
      </c>
      <c r="AS113" s="19">
        <v>12500</v>
      </c>
    </row>
    <row r="114" spans="1:45" ht="60" x14ac:dyDescent="0.25">
      <c r="A114" s="22" t="s">
        <v>658</v>
      </c>
      <c r="B114" s="205">
        <v>16</v>
      </c>
      <c r="C114" s="23">
        <v>113</v>
      </c>
      <c r="D114" s="302" t="s">
        <v>685</v>
      </c>
      <c r="E114" s="302" t="s">
        <v>685</v>
      </c>
      <c r="F114" s="302" t="s">
        <v>685</v>
      </c>
      <c r="G114" s="302" t="s">
        <v>762</v>
      </c>
      <c r="H114" s="302" t="s">
        <v>762</v>
      </c>
      <c r="I114" s="174" t="s">
        <v>661</v>
      </c>
      <c r="J114" s="104">
        <v>80000</v>
      </c>
      <c r="K114" s="207">
        <v>80000</v>
      </c>
      <c r="L114" s="19"/>
      <c r="M114" s="19"/>
      <c r="N114" s="19"/>
      <c r="O114" s="19"/>
      <c r="P114" s="19"/>
      <c r="Q114" s="19"/>
      <c r="R114" s="19"/>
      <c r="S114" s="19"/>
      <c r="T114" s="19"/>
      <c r="U114" s="19"/>
      <c r="V114" s="19"/>
      <c r="W114" s="19"/>
      <c r="X114" s="19"/>
      <c r="Y114" s="19"/>
      <c r="Z114" s="19"/>
      <c r="AA114" s="19"/>
      <c r="AB114" s="19"/>
      <c r="AC114" s="19"/>
      <c r="AD114" s="19"/>
      <c r="AE114" s="19"/>
      <c r="AF114" s="19"/>
      <c r="AG114" s="174">
        <v>1</v>
      </c>
      <c r="AH114" s="19"/>
      <c r="AI114" s="19"/>
      <c r="AJ114" s="19"/>
      <c r="AK114" s="19"/>
      <c r="AL114" s="19"/>
      <c r="AM114" s="19"/>
      <c r="AN114" s="19"/>
      <c r="AO114" s="19"/>
      <c r="AP114" s="19">
        <f t="shared" si="3"/>
        <v>1</v>
      </c>
      <c r="AQ114" s="21">
        <f t="shared" si="4"/>
        <v>80000</v>
      </c>
      <c r="AR114" s="19">
        <f t="shared" si="5"/>
        <v>66666.666666666672</v>
      </c>
      <c r="AS114" s="19">
        <v>66666.67</v>
      </c>
    </row>
    <row r="115" spans="1:45" ht="75" x14ac:dyDescent="0.25">
      <c r="A115" s="22" t="s">
        <v>179</v>
      </c>
      <c r="B115" s="23">
        <v>40</v>
      </c>
      <c r="C115" s="23">
        <v>114</v>
      </c>
      <c r="D115" s="298" t="s">
        <v>251</v>
      </c>
      <c r="E115" s="298" t="s">
        <v>251</v>
      </c>
      <c r="F115" s="298" t="s">
        <v>251</v>
      </c>
      <c r="G115" s="297" t="s">
        <v>252</v>
      </c>
      <c r="H115" s="297" t="s">
        <v>252</v>
      </c>
      <c r="I115" s="16" t="s">
        <v>20</v>
      </c>
      <c r="J115" s="17">
        <v>550</v>
      </c>
      <c r="K115" s="18">
        <f>J115*U115</f>
        <v>16500</v>
      </c>
      <c r="L115" s="19"/>
      <c r="M115" s="19"/>
      <c r="N115" s="19"/>
      <c r="O115" s="19"/>
      <c r="P115" s="19"/>
      <c r="Q115" s="19"/>
      <c r="R115" s="19"/>
      <c r="S115" s="19"/>
      <c r="T115" s="19"/>
      <c r="U115" s="16">
        <v>30</v>
      </c>
      <c r="V115" s="19"/>
      <c r="W115" s="19"/>
      <c r="X115" s="19"/>
      <c r="Y115" s="19"/>
      <c r="Z115" s="19"/>
      <c r="AA115" s="19"/>
      <c r="AB115" s="19"/>
      <c r="AC115" s="19"/>
      <c r="AD115" s="19"/>
      <c r="AE115" s="19"/>
      <c r="AF115" s="19"/>
      <c r="AG115" s="19"/>
      <c r="AH115" s="19"/>
      <c r="AI115" s="19"/>
      <c r="AJ115" s="19"/>
      <c r="AK115" s="19"/>
      <c r="AL115" s="19"/>
      <c r="AM115" s="19"/>
      <c r="AN115" s="19"/>
      <c r="AO115" s="19"/>
      <c r="AP115" s="19">
        <f t="shared" si="3"/>
        <v>30</v>
      </c>
      <c r="AQ115" s="21">
        <f t="shared" si="4"/>
        <v>16500</v>
      </c>
      <c r="AR115" s="19">
        <f t="shared" si="5"/>
        <v>13750</v>
      </c>
      <c r="AS115" s="19">
        <v>13750</v>
      </c>
    </row>
    <row r="116" spans="1:45" ht="120" x14ac:dyDescent="0.25">
      <c r="A116" s="22" t="s">
        <v>179</v>
      </c>
      <c r="B116" s="23">
        <v>16</v>
      </c>
      <c r="C116" s="23">
        <v>115</v>
      </c>
      <c r="D116" s="297" t="s">
        <v>210</v>
      </c>
      <c r="E116" s="297" t="s">
        <v>210</v>
      </c>
      <c r="F116" s="297" t="s">
        <v>210</v>
      </c>
      <c r="G116" s="297" t="s">
        <v>211</v>
      </c>
      <c r="H116" s="297" t="s">
        <v>211</v>
      </c>
      <c r="I116" s="174" t="s">
        <v>661</v>
      </c>
      <c r="J116" s="17">
        <v>400</v>
      </c>
      <c r="K116" s="18">
        <f>J116*U116</f>
        <v>80000</v>
      </c>
      <c r="L116" s="19"/>
      <c r="M116" s="19"/>
      <c r="N116" s="19"/>
      <c r="O116" s="19"/>
      <c r="P116" s="19"/>
      <c r="Q116" s="19"/>
      <c r="R116" s="19"/>
      <c r="S116" s="19"/>
      <c r="T116" s="19"/>
      <c r="U116" s="16">
        <v>200</v>
      </c>
      <c r="V116" s="19"/>
      <c r="W116" s="19"/>
      <c r="X116" s="19"/>
      <c r="Y116" s="19"/>
      <c r="Z116" s="19"/>
      <c r="AA116" s="19"/>
      <c r="AB116" s="19"/>
      <c r="AC116" s="19"/>
      <c r="AD116" s="19"/>
      <c r="AE116" s="19"/>
      <c r="AF116" s="19"/>
      <c r="AG116" s="19"/>
      <c r="AH116" s="19"/>
      <c r="AI116" s="19"/>
      <c r="AJ116" s="19"/>
      <c r="AK116" s="19"/>
      <c r="AL116" s="19"/>
      <c r="AM116" s="19"/>
      <c r="AN116" s="19"/>
      <c r="AO116" s="19"/>
      <c r="AP116" s="19">
        <f t="shared" si="3"/>
        <v>200</v>
      </c>
      <c r="AQ116" s="21">
        <f t="shared" si="4"/>
        <v>80000</v>
      </c>
      <c r="AR116" s="19">
        <f t="shared" si="5"/>
        <v>66666.666666666672</v>
      </c>
      <c r="AS116" s="19">
        <v>66666.67</v>
      </c>
    </row>
    <row r="117" spans="1:45" ht="30" x14ac:dyDescent="0.25">
      <c r="A117" s="22" t="s">
        <v>179</v>
      </c>
      <c r="B117" s="23">
        <v>50</v>
      </c>
      <c r="C117" s="23">
        <v>116</v>
      </c>
      <c r="D117" s="12" t="s">
        <v>271</v>
      </c>
      <c r="E117" s="12" t="s">
        <v>271</v>
      </c>
      <c r="F117" s="12" t="s">
        <v>271</v>
      </c>
      <c r="G117" s="12" t="s">
        <v>271</v>
      </c>
      <c r="H117" s="12" t="s">
        <v>271</v>
      </c>
      <c r="I117" s="16" t="s">
        <v>20</v>
      </c>
      <c r="J117" s="17">
        <v>6500</v>
      </c>
      <c r="K117" s="18">
        <f>J117*U117</f>
        <v>13000</v>
      </c>
      <c r="L117" s="19"/>
      <c r="M117" s="19"/>
      <c r="N117" s="19"/>
      <c r="O117" s="19"/>
      <c r="P117" s="19"/>
      <c r="Q117" s="19"/>
      <c r="R117" s="19"/>
      <c r="S117" s="19"/>
      <c r="T117" s="19"/>
      <c r="U117" s="16">
        <v>2</v>
      </c>
      <c r="V117" s="19"/>
      <c r="W117" s="19"/>
      <c r="X117" s="19"/>
      <c r="Y117" s="19"/>
      <c r="Z117" s="19"/>
      <c r="AA117" s="19"/>
      <c r="AB117" s="19"/>
      <c r="AC117" s="19"/>
      <c r="AD117" s="19"/>
      <c r="AE117" s="19"/>
      <c r="AF117" s="19"/>
      <c r="AG117" s="19"/>
      <c r="AH117" s="19"/>
      <c r="AI117" s="19"/>
      <c r="AJ117" s="19"/>
      <c r="AK117" s="19"/>
      <c r="AL117" s="19"/>
      <c r="AM117" s="19"/>
      <c r="AN117" s="19"/>
      <c r="AO117" s="19"/>
      <c r="AP117" s="19">
        <f t="shared" si="3"/>
        <v>2</v>
      </c>
      <c r="AQ117" s="21">
        <f t="shared" si="4"/>
        <v>13000</v>
      </c>
      <c r="AR117" s="19">
        <f t="shared" si="5"/>
        <v>10833.333333333334</v>
      </c>
      <c r="AS117" s="19">
        <v>10833.34</v>
      </c>
    </row>
    <row r="118" spans="1:45" ht="60" x14ac:dyDescent="0.25">
      <c r="A118" s="22" t="s">
        <v>179</v>
      </c>
      <c r="B118" s="23">
        <v>17</v>
      </c>
      <c r="C118" s="23">
        <v>117</v>
      </c>
      <c r="D118" s="297" t="s">
        <v>213</v>
      </c>
      <c r="E118" s="297" t="s">
        <v>213</v>
      </c>
      <c r="F118" s="297" t="s">
        <v>213</v>
      </c>
      <c r="G118" s="297" t="s">
        <v>212</v>
      </c>
      <c r="H118" s="297" t="s">
        <v>212</v>
      </c>
      <c r="I118" s="16" t="s">
        <v>20</v>
      </c>
      <c r="J118" s="17">
        <v>10000</v>
      </c>
      <c r="K118" s="18">
        <f>J118*U118</f>
        <v>60000</v>
      </c>
      <c r="L118" s="19"/>
      <c r="M118" s="19"/>
      <c r="N118" s="19"/>
      <c r="O118" s="19"/>
      <c r="P118" s="19"/>
      <c r="Q118" s="19"/>
      <c r="R118" s="19"/>
      <c r="S118" s="19"/>
      <c r="T118" s="19"/>
      <c r="U118" s="16">
        <v>6</v>
      </c>
      <c r="V118" s="19"/>
      <c r="W118" s="19"/>
      <c r="X118" s="19"/>
      <c r="Y118" s="19"/>
      <c r="Z118" s="19"/>
      <c r="AA118" s="19"/>
      <c r="AB118" s="19"/>
      <c r="AC118" s="19"/>
      <c r="AD118" s="19"/>
      <c r="AE118" s="19"/>
      <c r="AF118" s="19"/>
      <c r="AG118" s="19"/>
      <c r="AH118" s="19"/>
      <c r="AI118" s="19"/>
      <c r="AJ118" s="19"/>
      <c r="AK118" s="19"/>
      <c r="AL118" s="19"/>
      <c r="AM118" s="19"/>
      <c r="AN118" s="19"/>
      <c r="AO118" s="19"/>
      <c r="AP118" s="19">
        <f t="shared" si="3"/>
        <v>6</v>
      </c>
      <c r="AQ118" s="21">
        <f t="shared" si="4"/>
        <v>60000</v>
      </c>
      <c r="AR118" s="19">
        <f t="shared" si="5"/>
        <v>50000</v>
      </c>
      <c r="AS118" s="19">
        <v>50000</v>
      </c>
    </row>
    <row r="119" spans="1:45" ht="45" x14ac:dyDescent="0.25">
      <c r="A119" s="22" t="s">
        <v>592</v>
      </c>
      <c r="B119" s="172"/>
      <c r="C119" s="23">
        <v>118</v>
      </c>
      <c r="D119" s="297" t="s">
        <v>615</v>
      </c>
      <c r="E119" s="297" t="s">
        <v>615</v>
      </c>
      <c r="F119" s="297" t="s">
        <v>615</v>
      </c>
      <c r="G119" s="297" t="s">
        <v>763</v>
      </c>
      <c r="H119" s="297" t="s">
        <v>763</v>
      </c>
      <c r="I119" s="16" t="s">
        <v>20</v>
      </c>
      <c r="J119" s="17">
        <v>114.51</v>
      </c>
      <c r="K119" s="18">
        <f>J119*AD119</f>
        <v>1145.1000000000001</v>
      </c>
      <c r="L119" s="19"/>
      <c r="M119" s="19"/>
      <c r="N119" s="19"/>
      <c r="O119" s="19"/>
      <c r="P119" s="19"/>
      <c r="Q119" s="19"/>
      <c r="R119" s="19"/>
      <c r="S119" s="19"/>
      <c r="T119" s="19"/>
      <c r="U119" s="19"/>
      <c r="V119" s="19"/>
      <c r="W119" s="19"/>
      <c r="X119" s="19"/>
      <c r="Y119" s="19"/>
      <c r="Z119" s="19"/>
      <c r="AA119" s="19"/>
      <c r="AB119" s="19"/>
      <c r="AC119" s="19"/>
      <c r="AD119" s="295">
        <v>10</v>
      </c>
      <c r="AE119" s="19"/>
      <c r="AF119" s="19"/>
      <c r="AG119" s="19"/>
      <c r="AH119" s="19"/>
      <c r="AI119" s="19"/>
      <c r="AJ119" s="19"/>
      <c r="AK119" s="19"/>
      <c r="AL119" s="19"/>
      <c r="AM119" s="19"/>
      <c r="AN119" s="19"/>
      <c r="AO119" s="19"/>
      <c r="AP119" s="19">
        <f t="shared" si="3"/>
        <v>10</v>
      </c>
      <c r="AQ119" s="21">
        <f t="shared" si="4"/>
        <v>1145.1000000000001</v>
      </c>
      <c r="AR119" s="19">
        <f t="shared" si="5"/>
        <v>954.25000000000011</v>
      </c>
      <c r="AS119" s="19">
        <v>954.25</v>
      </c>
    </row>
    <row r="120" spans="1:45" ht="30" x14ac:dyDescent="0.25">
      <c r="A120" s="22" t="s">
        <v>592</v>
      </c>
      <c r="B120" s="172"/>
      <c r="C120" s="23">
        <v>119</v>
      </c>
      <c r="D120" s="297" t="s">
        <v>751</v>
      </c>
      <c r="E120" s="297" t="s">
        <v>751</v>
      </c>
      <c r="F120" s="297" t="s">
        <v>751</v>
      </c>
      <c r="G120" s="297" t="s">
        <v>751</v>
      </c>
      <c r="H120" s="297" t="s">
        <v>751</v>
      </c>
      <c r="I120" s="16" t="s">
        <v>20</v>
      </c>
      <c r="J120" s="18">
        <v>130</v>
      </c>
      <c r="K120" s="18">
        <f>J120*AD120</f>
        <v>2600</v>
      </c>
      <c r="L120" s="19"/>
      <c r="M120" s="19"/>
      <c r="N120" s="19"/>
      <c r="O120" s="19"/>
      <c r="P120" s="19"/>
      <c r="Q120" s="19"/>
      <c r="R120" s="19"/>
      <c r="S120" s="19"/>
      <c r="T120" s="19"/>
      <c r="U120" s="19"/>
      <c r="V120" s="19"/>
      <c r="W120" s="19"/>
      <c r="X120" s="19"/>
      <c r="Y120" s="19"/>
      <c r="Z120" s="19"/>
      <c r="AA120" s="19"/>
      <c r="AB120" s="19"/>
      <c r="AC120" s="19"/>
      <c r="AD120" s="295">
        <v>20</v>
      </c>
      <c r="AE120" s="19"/>
      <c r="AF120" s="19"/>
      <c r="AG120" s="19"/>
      <c r="AH120" s="19"/>
      <c r="AI120" s="19"/>
      <c r="AJ120" s="19"/>
      <c r="AK120" s="19"/>
      <c r="AL120" s="19"/>
      <c r="AM120" s="19"/>
      <c r="AN120" s="19"/>
      <c r="AO120" s="19"/>
      <c r="AP120" s="19">
        <f t="shared" si="3"/>
        <v>20</v>
      </c>
      <c r="AQ120" s="21">
        <f t="shared" si="4"/>
        <v>2600</v>
      </c>
      <c r="AR120" s="19">
        <f t="shared" si="5"/>
        <v>2166.666666666667</v>
      </c>
      <c r="AS120" s="19">
        <v>2166.67</v>
      </c>
    </row>
    <row r="121" spans="1:45" ht="30" x14ac:dyDescent="0.25">
      <c r="A121" s="22"/>
      <c r="B121" s="205">
        <v>1</v>
      </c>
      <c r="C121" s="23">
        <v>120</v>
      </c>
      <c r="D121" s="302" t="s">
        <v>646</v>
      </c>
      <c r="E121" s="302" t="s">
        <v>646</v>
      </c>
      <c r="F121" s="302" t="s">
        <v>646</v>
      </c>
      <c r="G121" s="302" t="s">
        <v>647</v>
      </c>
      <c r="H121" s="302" t="s">
        <v>647</v>
      </c>
      <c r="I121" s="16" t="s">
        <v>20</v>
      </c>
      <c r="J121" s="207">
        <v>250</v>
      </c>
      <c r="K121" s="207">
        <v>5000</v>
      </c>
      <c r="L121" s="19"/>
      <c r="M121" s="19"/>
      <c r="N121" s="19"/>
      <c r="O121" s="19"/>
      <c r="P121" s="19"/>
      <c r="Q121" s="19"/>
      <c r="R121" s="19"/>
      <c r="S121" s="19"/>
      <c r="T121" s="19"/>
      <c r="U121" s="19"/>
      <c r="V121" s="19"/>
      <c r="W121" s="19"/>
      <c r="X121" s="19"/>
      <c r="Y121" s="19"/>
      <c r="Z121" s="19"/>
      <c r="AA121" s="19"/>
      <c r="AB121" s="19"/>
      <c r="AC121" s="19"/>
      <c r="AD121" s="19"/>
      <c r="AE121" s="174">
        <v>20</v>
      </c>
      <c r="AF121" s="19"/>
      <c r="AG121" s="19"/>
      <c r="AH121" s="19"/>
      <c r="AI121" s="19"/>
      <c r="AJ121" s="19"/>
      <c r="AK121" s="19"/>
      <c r="AL121" s="19"/>
      <c r="AM121" s="19"/>
      <c r="AN121" s="19"/>
      <c r="AO121" s="19"/>
      <c r="AP121" s="19">
        <f t="shared" si="3"/>
        <v>20</v>
      </c>
      <c r="AQ121" s="21">
        <f t="shared" si="4"/>
        <v>5000</v>
      </c>
      <c r="AR121" s="19">
        <f t="shared" si="5"/>
        <v>4166.666666666667</v>
      </c>
      <c r="AS121" s="19">
        <v>4166.67</v>
      </c>
    </row>
    <row r="122" spans="1:45" ht="30" x14ac:dyDescent="0.25">
      <c r="A122" s="22" t="s">
        <v>645</v>
      </c>
      <c r="B122" s="205">
        <v>2</v>
      </c>
      <c r="C122" s="23">
        <v>121</v>
      </c>
      <c r="D122" s="302" t="s">
        <v>646</v>
      </c>
      <c r="E122" s="302" t="s">
        <v>646</v>
      </c>
      <c r="F122" s="302" t="s">
        <v>646</v>
      </c>
      <c r="G122" s="302" t="s">
        <v>649</v>
      </c>
      <c r="H122" s="302" t="s">
        <v>649</v>
      </c>
      <c r="I122" s="16" t="s">
        <v>20</v>
      </c>
      <c r="J122" s="17">
        <v>200</v>
      </c>
      <c r="K122" s="207">
        <v>2000</v>
      </c>
      <c r="L122" s="19"/>
      <c r="M122" s="19"/>
      <c r="N122" s="19"/>
      <c r="O122" s="19"/>
      <c r="P122" s="19"/>
      <c r="Q122" s="19"/>
      <c r="R122" s="19"/>
      <c r="S122" s="19"/>
      <c r="T122" s="19"/>
      <c r="U122" s="19"/>
      <c r="V122" s="19"/>
      <c r="W122" s="19"/>
      <c r="X122" s="19"/>
      <c r="Y122" s="19"/>
      <c r="Z122" s="19"/>
      <c r="AA122" s="19"/>
      <c r="AB122" s="19"/>
      <c r="AC122" s="19"/>
      <c r="AD122" s="19"/>
      <c r="AE122" s="174">
        <v>10</v>
      </c>
      <c r="AF122" s="19"/>
      <c r="AG122" s="19"/>
      <c r="AH122" s="19"/>
      <c r="AI122" s="19"/>
      <c r="AJ122" s="19"/>
      <c r="AK122" s="19"/>
      <c r="AL122" s="19"/>
      <c r="AM122" s="19"/>
      <c r="AN122" s="19"/>
      <c r="AO122" s="19"/>
      <c r="AP122" s="19">
        <f t="shared" si="3"/>
        <v>10</v>
      </c>
      <c r="AQ122" s="21">
        <f t="shared" si="4"/>
        <v>2000</v>
      </c>
      <c r="AR122" s="19">
        <f t="shared" si="5"/>
        <v>1666.6666666666667</v>
      </c>
      <c r="AS122" s="19">
        <v>1666.67</v>
      </c>
    </row>
    <row r="123" spans="1:45" ht="30" x14ac:dyDescent="0.25">
      <c r="A123" s="308" t="s">
        <v>730</v>
      </c>
      <c r="B123" s="328">
        <v>61</v>
      </c>
      <c r="C123" s="23">
        <v>122</v>
      </c>
      <c r="D123" s="300" t="s">
        <v>734</v>
      </c>
      <c r="E123" s="300" t="s">
        <v>734</v>
      </c>
      <c r="F123" s="300" t="s">
        <v>734</v>
      </c>
      <c r="G123" s="330" t="s">
        <v>764</v>
      </c>
      <c r="H123" s="330" t="s">
        <v>764</v>
      </c>
      <c r="I123" s="16" t="s">
        <v>20</v>
      </c>
      <c r="J123" s="331">
        <v>540</v>
      </c>
      <c r="K123" s="18">
        <f>J123*AN123</f>
        <v>2160</v>
      </c>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331">
        <v>4</v>
      </c>
      <c r="AO123" s="19"/>
      <c r="AP123" s="19">
        <f t="shared" si="3"/>
        <v>4</v>
      </c>
      <c r="AQ123" s="21">
        <f t="shared" si="4"/>
        <v>2160</v>
      </c>
      <c r="AR123" s="19">
        <f t="shared" si="5"/>
        <v>1800</v>
      </c>
      <c r="AS123" s="19">
        <v>1800</v>
      </c>
    </row>
    <row r="124" spans="1:45" ht="30" x14ac:dyDescent="0.25">
      <c r="A124" s="308" t="s">
        <v>730</v>
      </c>
      <c r="B124" s="328">
        <v>62</v>
      </c>
      <c r="C124" s="23">
        <v>123</v>
      </c>
      <c r="D124" s="329" t="s">
        <v>760</v>
      </c>
      <c r="E124" s="329" t="s">
        <v>760</v>
      </c>
      <c r="F124" s="329" t="s">
        <v>760</v>
      </c>
      <c r="G124" s="330" t="s">
        <v>737</v>
      </c>
      <c r="H124" s="330" t="s">
        <v>737</v>
      </c>
      <c r="I124" s="16" t="s">
        <v>20</v>
      </c>
      <c r="J124" s="331">
        <v>120</v>
      </c>
      <c r="K124" s="18">
        <f>J124*AN124</f>
        <v>480</v>
      </c>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331">
        <v>4</v>
      </c>
      <c r="AO124" s="19"/>
      <c r="AP124" s="19">
        <f t="shared" si="3"/>
        <v>4</v>
      </c>
      <c r="AQ124" s="21">
        <f t="shared" si="4"/>
        <v>480</v>
      </c>
      <c r="AR124" s="19">
        <f t="shared" si="5"/>
        <v>400</v>
      </c>
      <c r="AS124" s="19">
        <v>400</v>
      </c>
    </row>
    <row r="125" spans="1:45" ht="60" x14ac:dyDescent="0.25">
      <c r="A125" s="22" t="s">
        <v>572</v>
      </c>
      <c r="B125" s="205">
        <v>3</v>
      </c>
      <c r="C125" s="23">
        <v>124</v>
      </c>
      <c r="D125" s="282" t="s">
        <v>578</v>
      </c>
      <c r="E125" s="282" t="s">
        <v>578</v>
      </c>
      <c r="F125" s="282" t="s">
        <v>578</v>
      </c>
      <c r="G125" s="282" t="s">
        <v>578</v>
      </c>
      <c r="H125" s="282" t="s">
        <v>578</v>
      </c>
      <c r="I125" s="16" t="s">
        <v>20</v>
      </c>
      <c r="J125" s="288">
        <v>2.59</v>
      </c>
      <c r="K125" s="289">
        <v>90650</v>
      </c>
      <c r="L125" s="19"/>
      <c r="M125" s="19"/>
      <c r="N125" s="19"/>
      <c r="O125" s="19"/>
      <c r="P125" s="19"/>
      <c r="Q125" s="19"/>
      <c r="R125" s="19"/>
      <c r="S125" s="19"/>
      <c r="T125" s="19"/>
      <c r="U125" s="19"/>
      <c r="V125" s="19"/>
      <c r="W125" s="19"/>
      <c r="X125" s="19"/>
      <c r="Y125" s="19"/>
      <c r="Z125" s="19"/>
      <c r="AA125" s="19"/>
      <c r="AB125" s="104">
        <v>35000</v>
      </c>
      <c r="AC125" s="19"/>
      <c r="AD125" s="19"/>
      <c r="AE125" s="19"/>
      <c r="AF125" s="19"/>
      <c r="AG125" s="19"/>
      <c r="AH125" s="19"/>
      <c r="AI125" s="19"/>
      <c r="AJ125" s="19"/>
      <c r="AK125" s="19"/>
      <c r="AL125" s="19"/>
      <c r="AM125" s="19"/>
      <c r="AN125" s="19"/>
      <c r="AO125" s="19"/>
      <c r="AP125" s="19">
        <f t="shared" si="3"/>
        <v>35000</v>
      </c>
      <c r="AQ125" s="21">
        <f t="shared" si="4"/>
        <v>90650</v>
      </c>
      <c r="AR125" s="19">
        <f t="shared" si="5"/>
        <v>75541.666666666672</v>
      </c>
      <c r="AS125" s="19">
        <v>75541.67</v>
      </c>
    </row>
    <row r="126" spans="1:45" ht="30" x14ac:dyDescent="0.25">
      <c r="A126" s="22" t="s">
        <v>592</v>
      </c>
      <c r="B126" s="172"/>
      <c r="C126" s="23">
        <v>125</v>
      </c>
      <c r="D126" s="297" t="s">
        <v>753</v>
      </c>
      <c r="E126" s="297" t="s">
        <v>753</v>
      </c>
      <c r="F126" s="297" t="s">
        <v>753</v>
      </c>
      <c r="G126" s="297" t="s">
        <v>753</v>
      </c>
      <c r="H126" s="297" t="s">
        <v>753</v>
      </c>
      <c r="I126" s="16" t="s">
        <v>20</v>
      </c>
      <c r="J126" s="17">
        <v>1.59</v>
      </c>
      <c r="K126" s="18">
        <f>J126*AD126</f>
        <v>2703</v>
      </c>
      <c r="L126" s="19"/>
      <c r="M126" s="19"/>
      <c r="N126" s="19"/>
      <c r="O126" s="19"/>
      <c r="P126" s="19"/>
      <c r="Q126" s="19"/>
      <c r="R126" s="19"/>
      <c r="S126" s="19"/>
      <c r="T126" s="19"/>
      <c r="U126" s="19"/>
      <c r="V126" s="19"/>
      <c r="W126" s="19"/>
      <c r="X126" s="19"/>
      <c r="Y126" s="19"/>
      <c r="Z126" s="19"/>
      <c r="AA126" s="19"/>
      <c r="AB126" s="19"/>
      <c r="AC126" s="19"/>
      <c r="AD126" s="16">
        <v>1700</v>
      </c>
      <c r="AE126" s="19"/>
      <c r="AF126" s="19"/>
      <c r="AG126" s="19"/>
      <c r="AH126" s="19"/>
      <c r="AI126" s="19"/>
      <c r="AJ126" s="19"/>
      <c r="AK126" s="19"/>
      <c r="AL126" s="19"/>
      <c r="AM126" s="19"/>
      <c r="AN126" s="19"/>
      <c r="AO126" s="19"/>
      <c r="AP126" s="19">
        <f t="shared" si="3"/>
        <v>1700</v>
      </c>
      <c r="AQ126" s="21">
        <f t="shared" si="4"/>
        <v>2703</v>
      </c>
      <c r="AR126" s="19">
        <f t="shared" si="5"/>
        <v>2252.5</v>
      </c>
      <c r="AS126" s="19">
        <v>2252.5</v>
      </c>
    </row>
    <row r="127" spans="1:45" ht="30" x14ac:dyDescent="0.25">
      <c r="A127" s="22" t="s">
        <v>179</v>
      </c>
      <c r="B127" s="23">
        <v>28</v>
      </c>
      <c r="C127" s="23">
        <v>126</v>
      </c>
      <c r="D127" s="282" t="s">
        <v>238</v>
      </c>
      <c r="E127" s="282" t="s">
        <v>238</v>
      </c>
      <c r="F127" s="282" t="s">
        <v>238</v>
      </c>
      <c r="G127" s="282" t="s">
        <v>238</v>
      </c>
      <c r="H127" s="282" t="s">
        <v>238</v>
      </c>
      <c r="I127" s="16" t="s">
        <v>20</v>
      </c>
      <c r="J127" s="17">
        <v>0.3</v>
      </c>
      <c r="K127" s="18">
        <f>J127*U127</f>
        <v>1200</v>
      </c>
      <c r="L127" s="19"/>
      <c r="M127" s="19"/>
      <c r="N127" s="19"/>
      <c r="O127" s="19"/>
      <c r="P127" s="19"/>
      <c r="Q127" s="19"/>
      <c r="R127" s="19"/>
      <c r="S127" s="19"/>
      <c r="T127" s="19"/>
      <c r="U127" s="16">
        <v>4000</v>
      </c>
      <c r="V127" s="19"/>
      <c r="W127" s="19"/>
      <c r="X127" s="19"/>
      <c r="Y127" s="19"/>
      <c r="Z127" s="19"/>
      <c r="AA127" s="19"/>
      <c r="AB127" s="19"/>
      <c r="AC127" s="19"/>
      <c r="AD127" s="19"/>
      <c r="AE127" s="19"/>
      <c r="AF127" s="19"/>
      <c r="AG127" s="19"/>
      <c r="AH127" s="19"/>
      <c r="AI127" s="19"/>
      <c r="AJ127" s="19"/>
      <c r="AK127" s="19"/>
      <c r="AL127" s="19"/>
      <c r="AM127" s="19"/>
      <c r="AN127" s="19"/>
      <c r="AO127" s="19"/>
      <c r="AP127" s="19">
        <f t="shared" si="3"/>
        <v>4000</v>
      </c>
      <c r="AQ127" s="21">
        <f t="shared" si="4"/>
        <v>1200</v>
      </c>
      <c r="AR127" s="19">
        <f t="shared" si="5"/>
        <v>1000</v>
      </c>
      <c r="AS127" s="19">
        <v>1000</v>
      </c>
    </row>
    <row r="128" spans="1:45" ht="150" x14ac:dyDescent="0.25">
      <c r="A128" s="22" t="s">
        <v>452</v>
      </c>
      <c r="B128" s="23"/>
      <c r="C128" s="23">
        <v>127</v>
      </c>
      <c r="D128" s="282" t="s">
        <v>499</v>
      </c>
      <c r="E128" s="282" t="s">
        <v>499</v>
      </c>
      <c r="F128" s="282" t="s">
        <v>499</v>
      </c>
      <c r="G128" s="282" t="s">
        <v>500</v>
      </c>
      <c r="H128" s="282" t="s">
        <v>500</v>
      </c>
      <c r="I128" s="16" t="s">
        <v>20</v>
      </c>
      <c r="J128" s="18">
        <v>110000</v>
      </c>
      <c r="K128" s="18">
        <f>J128*Y128</f>
        <v>110000</v>
      </c>
      <c r="L128" s="19"/>
      <c r="M128" s="19"/>
      <c r="N128" s="19"/>
      <c r="O128" s="19"/>
      <c r="P128" s="19"/>
      <c r="Q128" s="19"/>
      <c r="R128" s="19"/>
      <c r="S128" s="19"/>
      <c r="T128" s="19"/>
      <c r="U128" s="19"/>
      <c r="V128" s="19"/>
      <c r="W128" s="19"/>
      <c r="X128" s="19"/>
      <c r="Y128" s="104">
        <v>1</v>
      </c>
      <c r="Z128" s="19"/>
      <c r="AA128" s="19"/>
      <c r="AB128" s="19"/>
      <c r="AC128" s="19"/>
      <c r="AD128" s="19"/>
      <c r="AE128" s="19"/>
      <c r="AF128" s="19"/>
      <c r="AG128" s="19"/>
      <c r="AH128" s="19"/>
      <c r="AI128" s="19"/>
      <c r="AJ128" s="19"/>
      <c r="AK128" s="19"/>
      <c r="AL128" s="19"/>
      <c r="AM128" s="19"/>
      <c r="AN128" s="19"/>
      <c r="AO128" s="19"/>
      <c r="AP128" s="19">
        <f t="shared" si="3"/>
        <v>1</v>
      </c>
      <c r="AQ128" s="21">
        <f t="shared" si="4"/>
        <v>110000</v>
      </c>
      <c r="AR128" s="19">
        <f t="shared" si="5"/>
        <v>91666.666666666672</v>
      </c>
      <c r="AS128" s="19">
        <v>91666.67</v>
      </c>
    </row>
    <row r="129" spans="1:45" ht="57" customHeight="1" x14ac:dyDescent="0.25">
      <c r="A129" s="22" t="s">
        <v>179</v>
      </c>
      <c r="B129" s="23">
        <v>48</v>
      </c>
      <c r="C129" s="371">
        <v>128</v>
      </c>
      <c r="D129" s="12" t="s">
        <v>268</v>
      </c>
      <c r="E129" s="12" t="s">
        <v>268</v>
      </c>
      <c r="F129" s="12" t="s">
        <v>268</v>
      </c>
      <c r="G129" s="12" t="s">
        <v>270</v>
      </c>
      <c r="H129" s="367" t="s">
        <v>807</v>
      </c>
      <c r="I129" s="16" t="s">
        <v>20</v>
      </c>
      <c r="J129" s="17">
        <v>1000</v>
      </c>
      <c r="K129" s="18">
        <f>J129*U129</f>
        <v>4000</v>
      </c>
      <c r="L129" s="19"/>
      <c r="M129" s="19"/>
      <c r="N129" s="19"/>
      <c r="O129" s="19"/>
      <c r="P129" s="19"/>
      <c r="Q129" s="19"/>
      <c r="R129" s="19"/>
      <c r="S129" s="19"/>
      <c r="T129" s="19"/>
      <c r="U129" s="16">
        <v>4</v>
      </c>
      <c r="V129" s="19"/>
      <c r="W129" s="19"/>
      <c r="X129" s="19"/>
      <c r="Y129" s="19"/>
      <c r="Z129" s="19"/>
      <c r="AA129" s="19"/>
      <c r="AB129" s="19"/>
      <c r="AC129" s="19"/>
      <c r="AD129" s="19"/>
      <c r="AE129" s="19"/>
      <c r="AF129" s="19"/>
      <c r="AG129" s="19"/>
      <c r="AH129" s="19"/>
      <c r="AI129" s="19"/>
      <c r="AJ129" s="19"/>
      <c r="AK129" s="19"/>
      <c r="AL129" s="19"/>
      <c r="AM129" s="19"/>
      <c r="AN129" s="19"/>
      <c r="AO129" s="19"/>
      <c r="AP129" s="19">
        <f t="shared" si="3"/>
        <v>4</v>
      </c>
      <c r="AQ129" s="21">
        <f t="shared" si="4"/>
        <v>4000</v>
      </c>
      <c r="AR129" s="19">
        <f t="shared" si="5"/>
        <v>3333.3333333333335</v>
      </c>
      <c r="AS129" s="19">
        <v>3333.34</v>
      </c>
    </row>
    <row r="130" spans="1:45" ht="180" x14ac:dyDescent="0.25">
      <c r="A130" s="22"/>
      <c r="B130" s="326">
        <v>2</v>
      </c>
      <c r="C130" s="23">
        <v>129</v>
      </c>
      <c r="D130" s="315" t="s">
        <v>507</v>
      </c>
      <c r="E130" s="315" t="s">
        <v>507</v>
      </c>
      <c r="F130" s="315" t="s">
        <v>507</v>
      </c>
      <c r="G130" s="315" t="s">
        <v>508</v>
      </c>
      <c r="H130" s="315" t="s">
        <v>508</v>
      </c>
      <c r="I130" s="16" t="s">
        <v>20</v>
      </c>
      <c r="J130" s="207">
        <v>180</v>
      </c>
      <c r="K130" s="306">
        <v>1800</v>
      </c>
      <c r="L130" s="19"/>
      <c r="M130" s="19"/>
      <c r="N130" s="19"/>
      <c r="O130" s="19"/>
      <c r="P130" s="19"/>
      <c r="Q130" s="19"/>
      <c r="R130" s="19"/>
      <c r="S130" s="19"/>
      <c r="T130" s="19"/>
      <c r="U130" s="19"/>
      <c r="V130" s="19"/>
      <c r="W130" s="19"/>
      <c r="X130" s="19"/>
      <c r="Y130" s="19"/>
      <c r="Z130" s="19"/>
      <c r="AA130" s="327">
        <v>10</v>
      </c>
      <c r="AB130" s="19"/>
      <c r="AC130" s="19"/>
      <c r="AD130" s="19"/>
      <c r="AE130" s="19"/>
      <c r="AF130" s="19"/>
      <c r="AG130" s="19"/>
      <c r="AH130" s="19"/>
      <c r="AI130" s="19"/>
      <c r="AJ130" s="19"/>
      <c r="AK130" s="19"/>
      <c r="AL130" s="19"/>
      <c r="AM130" s="19"/>
      <c r="AN130" s="19"/>
      <c r="AO130" s="19"/>
      <c r="AP130" s="19">
        <f t="shared" ref="AP130:AP193" si="6">SUM(L130:AO130)</f>
        <v>10</v>
      </c>
      <c r="AQ130" s="21">
        <f t="shared" si="4"/>
        <v>1800</v>
      </c>
      <c r="AR130" s="19">
        <f t="shared" si="5"/>
        <v>1500</v>
      </c>
      <c r="AS130" s="19">
        <v>1500</v>
      </c>
    </row>
    <row r="131" spans="1:45" ht="57" customHeight="1" x14ac:dyDescent="0.25">
      <c r="A131" s="22" t="s">
        <v>506</v>
      </c>
      <c r="B131" s="172">
        <v>7</v>
      </c>
      <c r="C131" s="371">
        <v>130</v>
      </c>
      <c r="D131" s="301" t="s">
        <v>518</v>
      </c>
      <c r="E131" s="368" t="s">
        <v>808</v>
      </c>
      <c r="F131" s="301" t="s">
        <v>518</v>
      </c>
      <c r="G131" s="301" t="s">
        <v>520</v>
      </c>
      <c r="H131" s="368" t="s">
        <v>810</v>
      </c>
      <c r="I131" s="16" t="s">
        <v>20</v>
      </c>
      <c r="J131" s="17">
        <v>114</v>
      </c>
      <c r="K131" s="172">
        <v>1140</v>
      </c>
      <c r="L131" s="19"/>
      <c r="M131" s="19"/>
      <c r="N131" s="19"/>
      <c r="O131" s="19"/>
      <c r="P131" s="19"/>
      <c r="Q131" s="19"/>
      <c r="R131" s="19"/>
      <c r="S131" s="19"/>
      <c r="T131" s="19"/>
      <c r="U131" s="19"/>
      <c r="V131" s="19"/>
      <c r="W131" s="19"/>
      <c r="X131" s="19"/>
      <c r="Y131" s="19"/>
      <c r="Z131" s="19"/>
      <c r="AA131" s="176">
        <v>10</v>
      </c>
      <c r="AB131" s="19"/>
      <c r="AC131" s="19"/>
      <c r="AD131" s="19"/>
      <c r="AE131" s="19"/>
      <c r="AF131" s="19"/>
      <c r="AG131" s="19"/>
      <c r="AH131" s="19"/>
      <c r="AI131" s="19"/>
      <c r="AJ131" s="19"/>
      <c r="AK131" s="19"/>
      <c r="AL131" s="19"/>
      <c r="AM131" s="19"/>
      <c r="AN131" s="19"/>
      <c r="AO131" s="19"/>
      <c r="AP131" s="19">
        <f t="shared" si="6"/>
        <v>10</v>
      </c>
      <c r="AQ131" s="21">
        <f t="shared" ref="AQ131:AQ194" si="7">AP131*J131</f>
        <v>1140</v>
      </c>
      <c r="AR131" s="19">
        <f t="shared" ref="AR131:AR194" si="8">AQ131/1.2</f>
        <v>950</v>
      </c>
      <c r="AS131" s="19">
        <v>950</v>
      </c>
    </row>
    <row r="132" spans="1:45" ht="57" customHeight="1" x14ac:dyDescent="0.25">
      <c r="A132" s="22" t="s">
        <v>592</v>
      </c>
      <c r="B132" s="172"/>
      <c r="C132" s="371">
        <v>131</v>
      </c>
      <c r="D132" s="297" t="s">
        <v>622</v>
      </c>
      <c r="E132" s="369" t="s">
        <v>809</v>
      </c>
      <c r="F132" s="297" t="s">
        <v>622</v>
      </c>
      <c r="G132" s="275" t="s">
        <v>624</v>
      </c>
      <c r="H132" s="370" t="s">
        <v>811</v>
      </c>
      <c r="I132" s="16" t="s">
        <v>20</v>
      </c>
      <c r="J132" s="17">
        <v>128</v>
      </c>
      <c r="K132" s="18">
        <f>J132*AD132</f>
        <v>1280</v>
      </c>
      <c r="L132" s="19"/>
      <c r="M132" s="19"/>
      <c r="N132" s="19"/>
      <c r="O132" s="19"/>
      <c r="P132" s="19"/>
      <c r="Q132" s="19"/>
      <c r="R132" s="19"/>
      <c r="S132" s="19"/>
      <c r="T132" s="19"/>
      <c r="U132" s="19"/>
      <c r="V132" s="19"/>
      <c r="W132" s="19"/>
      <c r="X132" s="19"/>
      <c r="Y132" s="19"/>
      <c r="Z132" s="19"/>
      <c r="AA132" s="19"/>
      <c r="AB132" s="19"/>
      <c r="AC132" s="19"/>
      <c r="AD132" s="16">
        <v>10</v>
      </c>
      <c r="AE132" s="19"/>
      <c r="AF132" s="19"/>
      <c r="AG132" s="19"/>
      <c r="AH132" s="19"/>
      <c r="AI132" s="19"/>
      <c r="AJ132" s="19"/>
      <c r="AK132" s="19"/>
      <c r="AL132" s="19"/>
      <c r="AM132" s="19"/>
      <c r="AN132" s="19"/>
      <c r="AO132" s="19"/>
      <c r="AP132" s="19">
        <f t="shared" si="6"/>
        <v>10</v>
      </c>
      <c r="AQ132" s="21">
        <f t="shared" si="7"/>
        <v>1280</v>
      </c>
      <c r="AR132" s="19">
        <f t="shared" si="8"/>
        <v>1066.6666666666667</v>
      </c>
      <c r="AS132" s="19">
        <v>1066.67</v>
      </c>
    </row>
    <row r="133" spans="1:45" ht="57" customHeight="1" x14ac:dyDescent="0.25">
      <c r="A133" s="22" t="s">
        <v>592</v>
      </c>
      <c r="B133" s="172"/>
      <c r="C133" s="371">
        <v>132</v>
      </c>
      <c r="D133" s="297" t="s">
        <v>626</v>
      </c>
      <c r="E133" s="369" t="s">
        <v>812</v>
      </c>
      <c r="F133" s="297" t="s">
        <v>626</v>
      </c>
      <c r="G133" s="275" t="s">
        <v>628</v>
      </c>
      <c r="H133" s="370" t="s">
        <v>813</v>
      </c>
      <c r="I133" s="16" t="s">
        <v>20</v>
      </c>
      <c r="J133" s="17">
        <v>200</v>
      </c>
      <c r="K133" s="18">
        <f>J133*AD133</f>
        <v>2000</v>
      </c>
      <c r="L133" s="19"/>
      <c r="M133" s="19"/>
      <c r="N133" s="19"/>
      <c r="O133" s="19"/>
      <c r="P133" s="19"/>
      <c r="Q133" s="19"/>
      <c r="R133" s="19"/>
      <c r="S133" s="19"/>
      <c r="T133" s="19"/>
      <c r="U133" s="19"/>
      <c r="V133" s="19"/>
      <c r="W133" s="19"/>
      <c r="X133" s="19"/>
      <c r="Y133" s="19"/>
      <c r="Z133" s="19"/>
      <c r="AA133" s="19"/>
      <c r="AB133" s="19"/>
      <c r="AC133" s="19"/>
      <c r="AD133" s="16">
        <v>10</v>
      </c>
      <c r="AE133" s="19"/>
      <c r="AF133" s="19"/>
      <c r="AG133" s="19"/>
      <c r="AH133" s="19"/>
      <c r="AI133" s="19"/>
      <c r="AJ133" s="19"/>
      <c r="AK133" s="19"/>
      <c r="AL133" s="19"/>
      <c r="AM133" s="19"/>
      <c r="AN133" s="19"/>
      <c r="AO133" s="19"/>
      <c r="AP133" s="19">
        <f t="shared" si="6"/>
        <v>10</v>
      </c>
      <c r="AQ133" s="21">
        <f t="shared" si="7"/>
        <v>2000</v>
      </c>
      <c r="AR133" s="19">
        <f t="shared" si="8"/>
        <v>1666.6666666666667</v>
      </c>
      <c r="AS133" s="19">
        <v>1666.67</v>
      </c>
    </row>
    <row r="134" spans="1:45" ht="57" customHeight="1" x14ac:dyDescent="0.25">
      <c r="A134" s="22" t="s">
        <v>592</v>
      </c>
      <c r="B134" s="172"/>
      <c r="C134" s="371">
        <v>133</v>
      </c>
      <c r="D134" s="297" t="s">
        <v>630</v>
      </c>
      <c r="E134" s="369" t="s">
        <v>814</v>
      </c>
      <c r="F134" s="297" t="s">
        <v>630</v>
      </c>
      <c r="G134" s="275" t="s">
        <v>632</v>
      </c>
      <c r="H134" s="370" t="s">
        <v>815</v>
      </c>
      <c r="I134" s="16" t="s">
        <v>20</v>
      </c>
      <c r="J134" s="17">
        <v>538</v>
      </c>
      <c r="K134" s="18">
        <f>J134*AD134</f>
        <v>5380</v>
      </c>
      <c r="L134" s="19"/>
      <c r="M134" s="19"/>
      <c r="N134" s="19"/>
      <c r="O134" s="19"/>
      <c r="P134" s="19"/>
      <c r="Q134" s="19"/>
      <c r="R134" s="19"/>
      <c r="S134" s="19"/>
      <c r="T134" s="19"/>
      <c r="U134" s="19"/>
      <c r="V134" s="19"/>
      <c r="W134" s="19"/>
      <c r="X134" s="19"/>
      <c r="Y134" s="19"/>
      <c r="Z134" s="19"/>
      <c r="AA134" s="19"/>
      <c r="AB134" s="19"/>
      <c r="AC134" s="19"/>
      <c r="AD134" s="16">
        <v>10</v>
      </c>
      <c r="AE134" s="19"/>
      <c r="AF134" s="19"/>
      <c r="AG134" s="19"/>
      <c r="AH134" s="19"/>
      <c r="AI134" s="19"/>
      <c r="AJ134" s="19"/>
      <c r="AK134" s="19"/>
      <c r="AL134" s="19"/>
      <c r="AM134" s="19"/>
      <c r="AN134" s="19"/>
      <c r="AO134" s="19"/>
      <c r="AP134" s="19">
        <f t="shared" si="6"/>
        <v>10</v>
      </c>
      <c r="AQ134" s="21">
        <f t="shared" si="7"/>
        <v>5380</v>
      </c>
      <c r="AR134" s="19">
        <f t="shared" si="8"/>
        <v>4483.3333333333339</v>
      </c>
      <c r="AS134" s="19">
        <v>4483.34</v>
      </c>
    </row>
    <row r="135" spans="1:45" ht="180" x14ac:dyDescent="0.25">
      <c r="A135" s="22" t="s">
        <v>360</v>
      </c>
      <c r="B135" s="119">
        <v>28</v>
      </c>
      <c r="C135" s="23">
        <v>134</v>
      </c>
      <c r="D135" s="311" t="s">
        <v>443</v>
      </c>
      <c r="E135" s="311" t="s">
        <v>443</v>
      </c>
      <c r="F135" s="311" t="s">
        <v>443</v>
      </c>
      <c r="G135" s="311" t="s">
        <v>445</v>
      </c>
      <c r="H135" s="311" t="s">
        <v>445</v>
      </c>
      <c r="I135" s="16" t="s">
        <v>20</v>
      </c>
      <c r="J135" s="324">
        <v>103.2</v>
      </c>
      <c r="K135" s="313">
        <v>1032</v>
      </c>
      <c r="L135" s="19"/>
      <c r="M135" s="19"/>
      <c r="N135" s="19"/>
      <c r="O135" s="19"/>
      <c r="P135" s="19"/>
      <c r="Q135" s="19"/>
      <c r="R135" s="19"/>
      <c r="S135" s="19"/>
      <c r="T135" s="19"/>
      <c r="U135" s="19"/>
      <c r="V135" s="19"/>
      <c r="W135" s="19"/>
      <c r="X135" s="312">
        <v>10</v>
      </c>
      <c r="Y135" s="19"/>
      <c r="Z135" s="19"/>
      <c r="AA135" s="19"/>
      <c r="AB135" s="19"/>
      <c r="AC135" s="19"/>
      <c r="AD135" s="19"/>
      <c r="AE135" s="19"/>
      <c r="AF135" s="19"/>
      <c r="AG135" s="19"/>
      <c r="AH135" s="19"/>
      <c r="AI135" s="19"/>
      <c r="AJ135" s="19"/>
      <c r="AK135" s="19"/>
      <c r="AL135" s="19"/>
      <c r="AM135" s="19"/>
      <c r="AN135" s="19"/>
      <c r="AO135" s="19"/>
      <c r="AP135" s="19">
        <f t="shared" si="6"/>
        <v>10</v>
      </c>
      <c r="AQ135" s="21">
        <f t="shared" si="7"/>
        <v>1032</v>
      </c>
      <c r="AR135" s="19">
        <f t="shared" si="8"/>
        <v>860</v>
      </c>
      <c r="AS135" s="19">
        <v>860</v>
      </c>
    </row>
    <row r="136" spans="1:45" ht="165" x14ac:dyDescent="0.25">
      <c r="A136" s="22" t="s">
        <v>360</v>
      </c>
      <c r="B136" s="119">
        <v>29</v>
      </c>
      <c r="C136" s="23">
        <v>135</v>
      </c>
      <c r="D136" s="311" t="s">
        <v>446</v>
      </c>
      <c r="E136" s="311" t="s">
        <v>446</v>
      </c>
      <c r="F136" s="311" t="s">
        <v>446</v>
      </c>
      <c r="G136" s="311" t="s">
        <v>448</v>
      </c>
      <c r="H136" s="311" t="s">
        <v>448</v>
      </c>
      <c r="I136" s="16" t="s">
        <v>20</v>
      </c>
      <c r="J136" s="324">
        <v>103.2</v>
      </c>
      <c r="K136" s="313">
        <v>1032</v>
      </c>
      <c r="L136" s="19"/>
      <c r="M136" s="19"/>
      <c r="N136" s="19"/>
      <c r="O136" s="19"/>
      <c r="P136" s="19"/>
      <c r="Q136" s="19"/>
      <c r="R136" s="19"/>
      <c r="S136" s="19"/>
      <c r="T136" s="19"/>
      <c r="U136" s="19"/>
      <c r="V136" s="19"/>
      <c r="W136" s="19"/>
      <c r="X136" s="312">
        <v>10</v>
      </c>
      <c r="Y136" s="19"/>
      <c r="Z136" s="19"/>
      <c r="AA136" s="19"/>
      <c r="AB136" s="19"/>
      <c r="AC136" s="19"/>
      <c r="AD136" s="19"/>
      <c r="AE136" s="19"/>
      <c r="AF136" s="19"/>
      <c r="AG136" s="19"/>
      <c r="AH136" s="19"/>
      <c r="AI136" s="19"/>
      <c r="AJ136" s="19"/>
      <c r="AK136" s="19"/>
      <c r="AL136" s="19"/>
      <c r="AM136" s="19"/>
      <c r="AN136" s="19"/>
      <c r="AO136" s="19"/>
      <c r="AP136" s="19">
        <f t="shared" si="6"/>
        <v>10</v>
      </c>
      <c r="AQ136" s="21">
        <f t="shared" si="7"/>
        <v>1032</v>
      </c>
      <c r="AR136" s="19">
        <f t="shared" si="8"/>
        <v>860</v>
      </c>
      <c r="AS136" s="19">
        <v>860</v>
      </c>
    </row>
    <row r="137" spans="1:45" ht="195" x14ac:dyDescent="0.25">
      <c r="A137" s="22" t="s">
        <v>360</v>
      </c>
      <c r="B137" s="119">
        <v>27</v>
      </c>
      <c r="C137" s="23">
        <v>136</v>
      </c>
      <c r="D137" s="311" t="s">
        <v>440</v>
      </c>
      <c r="E137" s="311" t="s">
        <v>440</v>
      </c>
      <c r="F137" s="311" t="s">
        <v>440</v>
      </c>
      <c r="G137" s="311" t="s">
        <v>442</v>
      </c>
      <c r="H137" s="311" t="s">
        <v>442</v>
      </c>
      <c r="I137" s="16" t="s">
        <v>20</v>
      </c>
      <c r="J137" s="324">
        <v>103.2</v>
      </c>
      <c r="K137" s="313">
        <v>1032</v>
      </c>
      <c r="L137" s="19"/>
      <c r="M137" s="19"/>
      <c r="N137" s="19"/>
      <c r="O137" s="19"/>
      <c r="P137" s="19"/>
      <c r="Q137" s="19"/>
      <c r="R137" s="19"/>
      <c r="S137" s="19"/>
      <c r="T137" s="19"/>
      <c r="U137" s="19"/>
      <c r="V137" s="19"/>
      <c r="W137" s="19"/>
      <c r="X137" s="312">
        <v>10</v>
      </c>
      <c r="Y137" s="19"/>
      <c r="Z137" s="19"/>
      <c r="AA137" s="19"/>
      <c r="AB137" s="19"/>
      <c r="AC137" s="19"/>
      <c r="AD137" s="19"/>
      <c r="AE137" s="19"/>
      <c r="AF137" s="19"/>
      <c r="AG137" s="19"/>
      <c r="AH137" s="19"/>
      <c r="AI137" s="19"/>
      <c r="AJ137" s="19"/>
      <c r="AK137" s="19"/>
      <c r="AL137" s="19"/>
      <c r="AM137" s="19"/>
      <c r="AN137" s="19"/>
      <c r="AO137" s="19"/>
      <c r="AP137" s="19">
        <f t="shared" si="6"/>
        <v>10</v>
      </c>
      <c r="AQ137" s="21">
        <f t="shared" si="7"/>
        <v>1032</v>
      </c>
      <c r="AR137" s="19">
        <f t="shared" si="8"/>
        <v>860</v>
      </c>
      <c r="AS137" s="19">
        <v>860</v>
      </c>
    </row>
    <row r="138" spans="1:45" ht="105" x14ac:dyDescent="0.25">
      <c r="A138" s="22" t="s">
        <v>360</v>
      </c>
      <c r="B138" s="119">
        <v>11</v>
      </c>
      <c r="C138" s="23">
        <v>137</v>
      </c>
      <c r="D138" s="311" t="s">
        <v>392</v>
      </c>
      <c r="E138" s="311" t="s">
        <v>392</v>
      </c>
      <c r="F138" s="311" t="s">
        <v>392</v>
      </c>
      <c r="G138" s="311" t="s">
        <v>394</v>
      </c>
      <c r="H138" s="311" t="s">
        <v>394</v>
      </c>
      <c r="I138" s="16" t="s">
        <v>20</v>
      </c>
      <c r="J138" s="312">
        <v>80</v>
      </c>
      <c r="K138" s="313">
        <v>10000</v>
      </c>
      <c r="L138" s="19"/>
      <c r="M138" s="19"/>
      <c r="N138" s="19"/>
      <c r="O138" s="19"/>
      <c r="P138" s="19"/>
      <c r="Q138" s="19"/>
      <c r="R138" s="19"/>
      <c r="S138" s="19"/>
      <c r="T138" s="19"/>
      <c r="U138" s="19"/>
      <c r="V138" s="19"/>
      <c r="W138" s="19"/>
      <c r="X138" s="312">
        <v>125</v>
      </c>
      <c r="Y138" s="19"/>
      <c r="Z138" s="19"/>
      <c r="AA138" s="19"/>
      <c r="AB138" s="19"/>
      <c r="AC138" s="19"/>
      <c r="AD138" s="19"/>
      <c r="AE138" s="19"/>
      <c r="AF138" s="19"/>
      <c r="AG138" s="19"/>
      <c r="AH138" s="19"/>
      <c r="AI138" s="19"/>
      <c r="AJ138" s="19"/>
      <c r="AK138" s="19"/>
      <c r="AL138" s="19"/>
      <c r="AM138" s="19"/>
      <c r="AN138" s="19"/>
      <c r="AO138" s="19"/>
      <c r="AP138" s="19">
        <f t="shared" si="6"/>
        <v>125</v>
      </c>
      <c r="AQ138" s="21">
        <f t="shared" si="7"/>
        <v>10000</v>
      </c>
      <c r="AR138" s="19">
        <f t="shared" si="8"/>
        <v>8333.3333333333339</v>
      </c>
      <c r="AS138" s="19">
        <v>8333.34</v>
      </c>
    </row>
    <row r="139" spans="1:45" ht="105" x14ac:dyDescent="0.25">
      <c r="A139" s="22" t="s">
        <v>360</v>
      </c>
      <c r="B139" s="119">
        <v>12</v>
      </c>
      <c r="C139" s="23">
        <v>138</v>
      </c>
      <c r="D139" s="311" t="s">
        <v>395</v>
      </c>
      <c r="E139" s="311" t="s">
        <v>395</v>
      </c>
      <c r="F139" s="311" t="s">
        <v>395</v>
      </c>
      <c r="G139" s="311" t="s">
        <v>397</v>
      </c>
      <c r="H139" s="311" t="s">
        <v>397</v>
      </c>
      <c r="I139" s="16" t="s">
        <v>20</v>
      </c>
      <c r="J139" s="312">
        <v>80</v>
      </c>
      <c r="K139" s="313">
        <v>11200</v>
      </c>
      <c r="L139" s="19"/>
      <c r="M139" s="19"/>
      <c r="N139" s="19"/>
      <c r="O139" s="19"/>
      <c r="P139" s="19"/>
      <c r="Q139" s="19"/>
      <c r="R139" s="19"/>
      <c r="S139" s="19"/>
      <c r="T139" s="19"/>
      <c r="U139" s="19"/>
      <c r="V139" s="19"/>
      <c r="W139" s="19"/>
      <c r="X139" s="312">
        <v>140</v>
      </c>
      <c r="Y139" s="19"/>
      <c r="Z139" s="19"/>
      <c r="AA139" s="19"/>
      <c r="AB139" s="19"/>
      <c r="AC139" s="19"/>
      <c r="AD139" s="19"/>
      <c r="AE139" s="19"/>
      <c r="AF139" s="19"/>
      <c r="AG139" s="19"/>
      <c r="AH139" s="19"/>
      <c r="AI139" s="19"/>
      <c r="AJ139" s="19"/>
      <c r="AK139" s="19"/>
      <c r="AL139" s="19"/>
      <c r="AM139" s="19"/>
      <c r="AN139" s="19"/>
      <c r="AO139" s="19"/>
      <c r="AP139" s="19">
        <f t="shared" si="6"/>
        <v>140</v>
      </c>
      <c r="AQ139" s="21">
        <f t="shared" si="7"/>
        <v>11200</v>
      </c>
      <c r="AR139" s="19">
        <f t="shared" si="8"/>
        <v>9333.3333333333339</v>
      </c>
      <c r="AS139" s="19">
        <v>9333.34</v>
      </c>
    </row>
    <row r="140" spans="1:45" ht="105" x14ac:dyDescent="0.25">
      <c r="A140" s="22" t="s">
        <v>360</v>
      </c>
      <c r="B140" s="119">
        <v>13</v>
      </c>
      <c r="C140" s="23">
        <v>139</v>
      </c>
      <c r="D140" s="311" t="s">
        <v>398</v>
      </c>
      <c r="E140" s="311" t="s">
        <v>398</v>
      </c>
      <c r="F140" s="311" t="s">
        <v>398</v>
      </c>
      <c r="G140" s="311" t="s">
        <v>400</v>
      </c>
      <c r="H140" s="311" t="s">
        <v>400</v>
      </c>
      <c r="I140" s="16" t="s">
        <v>20</v>
      </c>
      <c r="J140" s="312">
        <v>80</v>
      </c>
      <c r="K140" s="313">
        <v>10000</v>
      </c>
      <c r="L140" s="19"/>
      <c r="M140" s="19"/>
      <c r="N140" s="19"/>
      <c r="O140" s="19"/>
      <c r="P140" s="19"/>
      <c r="Q140" s="19"/>
      <c r="R140" s="19"/>
      <c r="S140" s="19"/>
      <c r="T140" s="19"/>
      <c r="U140" s="19"/>
      <c r="V140" s="19"/>
      <c r="W140" s="19"/>
      <c r="X140" s="312">
        <v>125</v>
      </c>
      <c r="Y140" s="19"/>
      <c r="Z140" s="19"/>
      <c r="AA140" s="19"/>
      <c r="AB140" s="19"/>
      <c r="AC140" s="19"/>
      <c r="AD140" s="19"/>
      <c r="AE140" s="19"/>
      <c r="AF140" s="19"/>
      <c r="AG140" s="19"/>
      <c r="AH140" s="19"/>
      <c r="AI140" s="19"/>
      <c r="AJ140" s="19"/>
      <c r="AK140" s="19"/>
      <c r="AL140" s="19"/>
      <c r="AM140" s="19"/>
      <c r="AN140" s="19"/>
      <c r="AO140" s="19"/>
      <c r="AP140" s="19">
        <f t="shared" si="6"/>
        <v>125</v>
      </c>
      <c r="AQ140" s="21">
        <f t="shared" si="7"/>
        <v>10000</v>
      </c>
      <c r="AR140" s="19">
        <f t="shared" si="8"/>
        <v>8333.3333333333339</v>
      </c>
      <c r="AS140" s="19">
        <v>8333.34</v>
      </c>
    </row>
    <row r="141" spans="1:45" ht="105" x14ac:dyDescent="0.25">
      <c r="A141" s="22" t="s">
        <v>360</v>
      </c>
      <c r="B141" s="119">
        <v>14</v>
      </c>
      <c r="C141" s="23">
        <v>140</v>
      </c>
      <c r="D141" s="311" t="s">
        <v>401</v>
      </c>
      <c r="E141" s="311" t="s">
        <v>401</v>
      </c>
      <c r="F141" s="311" t="s">
        <v>401</v>
      </c>
      <c r="G141" s="311" t="s">
        <v>403</v>
      </c>
      <c r="H141" s="311" t="s">
        <v>403</v>
      </c>
      <c r="I141" s="16" t="s">
        <v>20</v>
      </c>
      <c r="J141" s="312">
        <v>80</v>
      </c>
      <c r="K141" s="313">
        <v>7200</v>
      </c>
      <c r="L141" s="19"/>
      <c r="M141" s="19"/>
      <c r="N141" s="19"/>
      <c r="O141" s="19"/>
      <c r="P141" s="19"/>
      <c r="Q141" s="19"/>
      <c r="R141" s="19"/>
      <c r="S141" s="19"/>
      <c r="T141" s="19"/>
      <c r="U141" s="19"/>
      <c r="V141" s="19"/>
      <c r="W141" s="19"/>
      <c r="X141" s="312">
        <v>90</v>
      </c>
      <c r="Y141" s="19"/>
      <c r="Z141" s="19"/>
      <c r="AA141" s="19"/>
      <c r="AB141" s="19"/>
      <c r="AC141" s="19"/>
      <c r="AD141" s="19"/>
      <c r="AE141" s="19"/>
      <c r="AF141" s="19"/>
      <c r="AG141" s="19"/>
      <c r="AH141" s="19"/>
      <c r="AI141" s="19"/>
      <c r="AJ141" s="19"/>
      <c r="AK141" s="19"/>
      <c r="AL141" s="19"/>
      <c r="AM141" s="19"/>
      <c r="AN141" s="19"/>
      <c r="AO141" s="19"/>
      <c r="AP141" s="19">
        <f t="shared" si="6"/>
        <v>90</v>
      </c>
      <c r="AQ141" s="21">
        <f t="shared" si="7"/>
        <v>7200</v>
      </c>
      <c r="AR141" s="19">
        <f t="shared" si="8"/>
        <v>6000</v>
      </c>
      <c r="AS141" s="19">
        <v>6000</v>
      </c>
    </row>
    <row r="142" spans="1:45" ht="60" x14ac:dyDescent="0.25">
      <c r="A142" s="22" t="s">
        <v>360</v>
      </c>
      <c r="B142" s="119">
        <v>15</v>
      </c>
      <c r="C142" s="23">
        <v>141</v>
      </c>
      <c r="D142" s="311" t="s">
        <v>404</v>
      </c>
      <c r="E142" s="311" t="s">
        <v>404</v>
      </c>
      <c r="F142" s="311" t="s">
        <v>404</v>
      </c>
      <c r="G142" s="311" t="s">
        <v>406</v>
      </c>
      <c r="H142" s="311" t="s">
        <v>406</v>
      </c>
      <c r="I142" s="16" t="s">
        <v>20</v>
      </c>
      <c r="J142" s="312">
        <v>90</v>
      </c>
      <c r="K142" s="313">
        <v>2250</v>
      </c>
      <c r="L142" s="19"/>
      <c r="M142" s="19"/>
      <c r="N142" s="19"/>
      <c r="O142" s="19"/>
      <c r="P142" s="19"/>
      <c r="Q142" s="19"/>
      <c r="R142" s="19"/>
      <c r="S142" s="19"/>
      <c r="T142" s="19"/>
      <c r="U142" s="19"/>
      <c r="V142" s="19"/>
      <c r="W142" s="19"/>
      <c r="X142" s="312">
        <v>25</v>
      </c>
      <c r="Y142" s="19"/>
      <c r="Z142" s="19"/>
      <c r="AA142" s="19"/>
      <c r="AB142" s="19"/>
      <c r="AC142" s="19"/>
      <c r="AD142" s="19"/>
      <c r="AE142" s="19"/>
      <c r="AF142" s="19"/>
      <c r="AG142" s="19"/>
      <c r="AH142" s="19"/>
      <c r="AI142" s="19"/>
      <c r="AJ142" s="19"/>
      <c r="AK142" s="19"/>
      <c r="AL142" s="19"/>
      <c r="AM142" s="19"/>
      <c r="AN142" s="19"/>
      <c r="AO142" s="19"/>
      <c r="AP142" s="19">
        <f t="shared" si="6"/>
        <v>25</v>
      </c>
      <c r="AQ142" s="21">
        <f t="shared" si="7"/>
        <v>2250</v>
      </c>
      <c r="AR142" s="19">
        <f t="shared" si="8"/>
        <v>1875</v>
      </c>
      <c r="AS142" s="19">
        <v>1875</v>
      </c>
    </row>
    <row r="143" spans="1:45" ht="57" customHeight="1" x14ac:dyDescent="0.25">
      <c r="A143" s="22" t="s">
        <v>360</v>
      </c>
      <c r="B143" s="119">
        <v>17</v>
      </c>
      <c r="C143" s="371">
        <v>142</v>
      </c>
      <c r="D143" s="311" t="s">
        <v>410</v>
      </c>
      <c r="E143" s="362" t="s">
        <v>817</v>
      </c>
      <c r="F143" s="311" t="s">
        <v>410</v>
      </c>
      <c r="G143" s="311" t="s">
        <v>412</v>
      </c>
      <c r="H143" s="362" t="s">
        <v>816</v>
      </c>
      <c r="I143" s="16" t="s">
        <v>20</v>
      </c>
      <c r="J143" s="312">
        <v>100</v>
      </c>
      <c r="K143" s="313">
        <v>2100</v>
      </c>
      <c r="L143" s="19"/>
      <c r="M143" s="19"/>
      <c r="N143" s="19"/>
      <c r="O143" s="19"/>
      <c r="P143" s="19"/>
      <c r="Q143" s="19"/>
      <c r="R143" s="19"/>
      <c r="S143" s="19"/>
      <c r="T143" s="19"/>
      <c r="U143" s="19"/>
      <c r="V143" s="19"/>
      <c r="W143" s="19"/>
      <c r="X143" s="312">
        <v>21</v>
      </c>
      <c r="Y143" s="19"/>
      <c r="Z143" s="19"/>
      <c r="AA143" s="19"/>
      <c r="AB143" s="19"/>
      <c r="AC143" s="19"/>
      <c r="AD143" s="19"/>
      <c r="AE143" s="19"/>
      <c r="AF143" s="19"/>
      <c r="AG143" s="19"/>
      <c r="AH143" s="19"/>
      <c r="AI143" s="19"/>
      <c r="AJ143" s="19"/>
      <c r="AK143" s="19"/>
      <c r="AL143" s="19"/>
      <c r="AM143" s="19"/>
      <c r="AN143" s="19"/>
      <c r="AO143" s="19"/>
      <c r="AP143" s="19">
        <f t="shared" si="6"/>
        <v>21</v>
      </c>
      <c r="AQ143" s="21">
        <f t="shared" si="7"/>
        <v>2100</v>
      </c>
      <c r="AR143" s="19">
        <f t="shared" si="8"/>
        <v>1750</v>
      </c>
      <c r="AS143" s="19">
        <v>1750</v>
      </c>
    </row>
    <row r="144" spans="1:45" ht="57" customHeight="1" x14ac:dyDescent="0.25">
      <c r="A144" s="22" t="s">
        <v>360</v>
      </c>
      <c r="B144" s="119">
        <v>18</v>
      </c>
      <c r="C144" s="371">
        <v>143</v>
      </c>
      <c r="D144" s="311" t="s">
        <v>413</v>
      </c>
      <c r="E144" s="362" t="s">
        <v>820</v>
      </c>
      <c r="F144" s="311" t="s">
        <v>413</v>
      </c>
      <c r="G144" s="311" t="s">
        <v>415</v>
      </c>
      <c r="H144" s="362" t="s">
        <v>818</v>
      </c>
      <c r="I144" s="16" t="s">
        <v>20</v>
      </c>
      <c r="J144" s="312">
        <v>100</v>
      </c>
      <c r="K144" s="313">
        <v>1200</v>
      </c>
      <c r="L144" s="19"/>
      <c r="M144" s="19"/>
      <c r="N144" s="19"/>
      <c r="O144" s="19"/>
      <c r="P144" s="19"/>
      <c r="Q144" s="19"/>
      <c r="R144" s="19"/>
      <c r="S144" s="19"/>
      <c r="T144" s="19"/>
      <c r="U144" s="19"/>
      <c r="V144" s="19"/>
      <c r="W144" s="19"/>
      <c r="X144" s="312">
        <v>12</v>
      </c>
      <c r="Y144" s="19"/>
      <c r="Z144" s="19"/>
      <c r="AA144" s="19"/>
      <c r="AB144" s="19"/>
      <c r="AC144" s="19"/>
      <c r="AD144" s="19"/>
      <c r="AE144" s="19"/>
      <c r="AF144" s="19"/>
      <c r="AG144" s="19"/>
      <c r="AH144" s="19"/>
      <c r="AI144" s="19"/>
      <c r="AJ144" s="19"/>
      <c r="AK144" s="19"/>
      <c r="AL144" s="19"/>
      <c r="AM144" s="19"/>
      <c r="AN144" s="19"/>
      <c r="AO144" s="19"/>
      <c r="AP144" s="19">
        <f t="shared" si="6"/>
        <v>12</v>
      </c>
      <c r="AQ144" s="21">
        <f t="shared" si="7"/>
        <v>1200</v>
      </c>
      <c r="AR144" s="19">
        <f t="shared" si="8"/>
        <v>1000</v>
      </c>
      <c r="AS144" s="19">
        <v>1000</v>
      </c>
    </row>
    <row r="145" spans="1:45" ht="60" x14ac:dyDescent="0.25">
      <c r="A145" s="22" t="s">
        <v>360</v>
      </c>
      <c r="B145" s="119">
        <v>16</v>
      </c>
      <c r="C145" s="23">
        <v>144</v>
      </c>
      <c r="D145" s="311" t="s">
        <v>407</v>
      </c>
      <c r="E145" s="311" t="s">
        <v>407</v>
      </c>
      <c r="F145" s="311" t="s">
        <v>407</v>
      </c>
      <c r="G145" s="311" t="s">
        <v>409</v>
      </c>
      <c r="H145" s="311" t="s">
        <v>409</v>
      </c>
      <c r="I145" s="16" t="s">
        <v>20</v>
      </c>
      <c r="J145" s="312">
        <v>100</v>
      </c>
      <c r="K145" s="313">
        <v>2600</v>
      </c>
      <c r="L145" s="19"/>
      <c r="M145" s="19"/>
      <c r="N145" s="19"/>
      <c r="O145" s="19"/>
      <c r="P145" s="19"/>
      <c r="Q145" s="19"/>
      <c r="R145" s="19"/>
      <c r="S145" s="19"/>
      <c r="T145" s="19"/>
      <c r="U145" s="19"/>
      <c r="V145" s="19"/>
      <c r="W145" s="19"/>
      <c r="X145" s="312">
        <v>26</v>
      </c>
      <c r="Y145" s="19"/>
      <c r="Z145" s="19"/>
      <c r="AA145" s="19"/>
      <c r="AB145" s="19"/>
      <c r="AC145" s="19"/>
      <c r="AD145" s="19"/>
      <c r="AE145" s="19"/>
      <c r="AF145" s="19"/>
      <c r="AG145" s="19"/>
      <c r="AH145" s="19"/>
      <c r="AI145" s="19"/>
      <c r="AJ145" s="19"/>
      <c r="AK145" s="19"/>
      <c r="AL145" s="19"/>
      <c r="AM145" s="19"/>
      <c r="AN145" s="19"/>
      <c r="AO145" s="19"/>
      <c r="AP145" s="19">
        <f t="shared" si="6"/>
        <v>26</v>
      </c>
      <c r="AQ145" s="21">
        <f t="shared" si="7"/>
        <v>2600</v>
      </c>
      <c r="AR145" s="19">
        <f t="shared" si="8"/>
        <v>2166.666666666667</v>
      </c>
      <c r="AS145" s="19">
        <v>2166.67</v>
      </c>
    </row>
    <row r="146" spans="1:45" ht="150" x14ac:dyDescent="0.25">
      <c r="A146" s="22" t="s">
        <v>703</v>
      </c>
      <c r="B146" s="24"/>
      <c r="C146" s="23">
        <v>145</v>
      </c>
      <c r="D146" s="275" t="s">
        <v>704</v>
      </c>
      <c r="E146" s="275" t="s">
        <v>704</v>
      </c>
      <c r="F146" s="275" t="s">
        <v>704</v>
      </c>
      <c r="G146" s="12" t="s">
        <v>707</v>
      </c>
      <c r="H146" s="12" t="s">
        <v>707</v>
      </c>
      <c r="I146" s="16" t="s">
        <v>20</v>
      </c>
      <c r="J146" s="18">
        <v>300</v>
      </c>
      <c r="K146" s="18">
        <f>J146*AJ146</f>
        <v>6000</v>
      </c>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6">
        <v>20</v>
      </c>
      <c r="AK146" s="19"/>
      <c r="AL146" s="19"/>
      <c r="AM146" s="19"/>
      <c r="AN146" s="19"/>
      <c r="AO146" s="19"/>
      <c r="AP146" s="19">
        <f t="shared" si="6"/>
        <v>20</v>
      </c>
      <c r="AQ146" s="21">
        <f t="shared" si="7"/>
        <v>6000</v>
      </c>
      <c r="AR146" s="19">
        <f t="shared" si="8"/>
        <v>5000</v>
      </c>
      <c r="AS146" s="19">
        <v>5000</v>
      </c>
    </row>
    <row r="147" spans="1:45" ht="150" x14ac:dyDescent="0.25">
      <c r="A147" s="22" t="s">
        <v>703</v>
      </c>
      <c r="B147" s="24"/>
      <c r="C147" s="23">
        <v>146</v>
      </c>
      <c r="D147" s="12" t="s">
        <v>708</v>
      </c>
      <c r="E147" s="12" t="s">
        <v>708</v>
      </c>
      <c r="F147" s="12" t="s">
        <v>708</v>
      </c>
      <c r="G147" s="12" t="s">
        <v>710</v>
      </c>
      <c r="H147" s="12" t="s">
        <v>710</v>
      </c>
      <c r="I147" s="16" t="s">
        <v>20</v>
      </c>
      <c r="J147" s="17">
        <v>200</v>
      </c>
      <c r="K147" s="18">
        <f>J147*AJ147</f>
        <v>10000</v>
      </c>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6">
        <v>50</v>
      </c>
      <c r="AK147" s="19"/>
      <c r="AL147" s="19"/>
      <c r="AM147" s="19"/>
      <c r="AN147" s="19"/>
      <c r="AO147" s="19"/>
      <c r="AP147" s="19">
        <f t="shared" si="6"/>
        <v>50</v>
      </c>
      <c r="AQ147" s="21">
        <f t="shared" si="7"/>
        <v>10000</v>
      </c>
      <c r="AR147" s="19">
        <f t="shared" si="8"/>
        <v>8333.3333333333339</v>
      </c>
      <c r="AS147" s="19">
        <v>8333.34</v>
      </c>
    </row>
    <row r="148" spans="1:45" ht="210" x14ac:dyDescent="0.25">
      <c r="A148" s="22" t="s">
        <v>40</v>
      </c>
      <c r="B148" s="43">
        <v>4</v>
      </c>
      <c r="C148" s="23">
        <v>147</v>
      </c>
      <c r="D148" s="299" t="s">
        <v>47</v>
      </c>
      <c r="E148" s="299" t="s">
        <v>47</v>
      </c>
      <c r="F148" s="299" t="s">
        <v>47</v>
      </c>
      <c r="G148" s="299" t="s">
        <v>49</v>
      </c>
      <c r="H148" s="299" t="s">
        <v>49</v>
      </c>
      <c r="I148" s="16" t="s">
        <v>20</v>
      </c>
      <c r="J148" s="17">
        <v>45</v>
      </c>
      <c r="K148" s="49">
        <v>22500</v>
      </c>
      <c r="L148" s="19"/>
      <c r="M148" s="19"/>
      <c r="N148" s="19"/>
      <c r="O148" s="19"/>
      <c r="P148" s="47">
        <v>500</v>
      </c>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f t="shared" si="6"/>
        <v>500</v>
      </c>
      <c r="AQ148" s="21">
        <f t="shared" si="7"/>
        <v>22500</v>
      </c>
      <c r="AR148" s="19">
        <f t="shared" si="8"/>
        <v>18750</v>
      </c>
      <c r="AS148" s="19">
        <v>18750</v>
      </c>
    </row>
    <row r="149" spans="1:45" ht="75" x14ac:dyDescent="0.25">
      <c r="A149" s="22" t="s">
        <v>76</v>
      </c>
      <c r="B149" s="23">
        <v>34</v>
      </c>
      <c r="C149" s="23">
        <v>148</v>
      </c>
      <c r="D149" s="297" t="s">
        <v>148</v>
      </c>
      <c r="E149" s="297" t="s">
        <v>148</v>
      </c>
      <c r="F149" s="297" t="s">
        <v>148</v>
      </c>
      <c r="G149" s="297" t="s">
        <v>149</v>
      </c>
      <c r="H149" s="297" t="s">
        <v>149</v>
      </c>
      <c r="I149" s="16" t="s">
        <v>20</v>
      </c>
      <c r="J149" s="17">
        <v>3</v>
      </c>
      <c r="K149" s="18">
        <v>1500</v>
      </c>
      <c r="L149" s="19"/>
      <c r="M149" s="19"/>
      <c r="N149" s="19"/>
      <c r="O149" s="19"/>
      <c r="P149" s="19"/>
      <c r="Q149" s="19"/>
      <c r="R149" s="16">
        <v>500</v>
      </c>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f t="shared" si="6"/>
        <v>500</v>
      </c>
      <c r="AQ149" s="21">
        <f t="shared" si="7"/>
        <v>1500</v>
      </c>
      <c r="AR149" s="19">
        <f t="shared" si="8"/>
        <v>1250</v>
      </c>
      <c r="AS149" s="19">
        <v>1250</v>
      </c>
    </row>
    <row r="150" spans="1:45" ht="75" x14ac:dyDescent="0.25">
      <c r="A150" s="22" t="s">
        <v>76</v>
      </c>
      <c r="B150" s="23">
        <v>33</v>
      </c>
      <c r="C150" s="23">
        <v>149</v>
      </c>
      <c r="D150" s="297" t="s">
        <v>146</v>
      </c>
      <c r="E150" s="297" t="s">
        <v>146</v>
      </c>
      <c r="F150" s="297" t="s">
        <v>146</v>
      </c>
      <c r="G150" s="297" t="s">
        <v>147</v>
      </c>
      <c r="H150" s="297" t="s">
        <v>147</v>
      </c>
      <c r="I150" s="16" t="s">
        <v>20</v>
      </c>
      <c r="J150" s="17">
        <v>3</v>
      </c>
      <c r="K150" s="18">
        <v>3000</v>
      </c>
      <c r="L150" s="19"/>
      <c r="M150" s="19"/>
      <c r="N150" s="19"/>
      <c r="O150" s="19"/>
      <c r="P150" s="19"/>
      <c r="Q150" s="19"/>
      <c r="R150" s="16">
        <v>1000</v>
      </c>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f t="shared" si="6"/>
        <v>1000</v>
      </c>
      <c r="AQ150" s="21">
        <f t="shared" si="7"/>
        <v>3000</v>
      </c>
      <c r="AR150" s="19">
        <f t="shared" si="8"/>
        <v>2500</v>
      </c>
      <c r="AS150" s="19">
        <v>2500</v>
      </c>
    </row>
    <row r="151" spans="1:45" ht="90" x14ac:dyDescent="0.25">
      <c r="A151" s="22" t="s">
        <v>308</v>
      </c>
      <c r="B151" s="43">
        <v>4</v>
      </c>
      <c r="C151" s="23">
        <v>150</v>
      </c>
      <c r="D151" s="282" t="s">
        <v>312</v>
      </c>
      <c r="E151" s="282" t="s">
        <v>312</v>
      </c>
      <c r="F151" s="282" t="s">
        <v>312</v>
      </c>
      <c r="G151" s="282" t="s">
        <v>313</v>
      </c>
      <c r="H151" s="282" t="s">
        <v>313</v>
      </c>
      <c r="I151" s="16" t="s">
        <v>20</v>
      </c>
      <c r="J151" s="283">
        <v>75</v>
      </c>
      <c r="K151" s="283">
        <v>7500</v>
      </c>
      <c r="L151" s="19"/>
      <c r="M151" s="19"/>
      <c r="N151" s="19"/>
      <c r="O151" s="19"/>
      <c r="P151" s="19"/>
      <c r="Q151" s="19"/>
      <c r="R151" s="19"/>
      <c r="S151" s="19"/>
      <c r="T151" s="19"/>
      <c r="U151" s="19"/>
      <c r="V151" s="19"/>
      <c r="W151" s="283">
        <v>100</v>
      </c>
      <c r="X151" s="19"/>
      <c r="Y151" s="19"/>
      <c r="Z151" s="19"/>
      <c r="AA151" s="19"/>
      <c r="AB151" s="19"/>
      <c r="AC151" s="19"/>
      <c r="AD151" s="19"/>
      <c r="AE151" s="19"/>
      <c r="AF151" s="19"/>
      <c r="AG151" s="19"/>
      <c r="AH151" s="19"/>
      <c r="AI151" s="19"/>
      <c r="AJ151" s="19"/>
      <c r="AK151" s="19"/>
      <c r="AL151" s="19"/>
      <c r="AM151" s="19"/>
      <c r="AN151" s="19"/>
      <c r="AO151" s="19"/>
      <c r="AP151" s="19">
        <f t="shared" si="6"/>
        <v>100</v>
      </c>
      <c r="AQ151" s="21">
        <f t="shared" si="7"/>
        <v>7500</v>
      </c>
      <c r="AR151" s="19">
        <f t="shared" si="8"/>
        <v>6250</v>
      </c>
      <c r="AS151" s="19">
        <v>6250</v>
      </c>
    </row>
    <row r="152" spans="1:45" ht="60" x14ac:dyDescent="0.25">
      <c r="A152" s="22" t="s">
        <v>360</v>
      </c>
      <c r="B152" s="119">
        <v>22</v>
      </c>
      <c r="C152" s="23">
        <v>151</v>
      </c>
      <c r="D152" s="320" t="s">
        <v>427</v>
      </c>
      <c r="E152" s="320" t="s">
        <v>427</v>
      </c>
      <c r="F152" s="320" t="s">
        <v>427</v>
      </c>
      <c r="G152" s="311" t="s">
        <v>428</v>
      </c>
      <c r="H152" s="311" t="s">
        <v>428</v>
      </c>
      <c r="I152" s="16" t="s">
        <v>20</v>
      </c>
      <c r="J152" s="312">
        <v>980</v>
      </c>
      <c r="K152" s="313">
        <v>19600</v>
      </c>
      <c r="L152" s="19"/>
      <c r="M152" s="19"/>
      <c r="N152" s="19"/>
      <c r="O152" s="19"/>
      <c r="P152" s="19"/>
      <c r="Q152" s="19"/>
      <c r="R152" s="19"/>
      <c r="S152" s="19"/>
      <c r="T152" s="19"/>
      <c r="U152" s="19"/>
      <c r="V152" s="19"/>
      <c r="W152" s="19"/>
      <c r="X152" s="312">
        <v>20</v>
      </c>
      <c r="Y152" s="19"/>
      <c r="Z152" s="19"/>
      <c r="AA152" s="19"/>
      <c r="AB152" s="19"/>
      <c r="AC152" s="19"/>
      <c r="AD152" s="19"/>
      <c r="AE152" s="19"/>
      <c r="AF152" s="19"/>
      <c r="AG152" s="19"/>
      <c r="AH152" s="19"/>
      <c r="AI152" s="19"/>
      <c r="AJ152" s="19"/>
      <c r="AK152" s="19"/>
      <c r="AL152" s="19"/>
      <c r="AM152" s="19"/>
      <c r="AN152" s="19"/>
      <c r="AO152" s="19"/>
      <c r="AP152" s="19">
        <f t="shared" si="6"/>
        <v>20</v>
      </c>
      <c r="AQ152" s="21">
        <f t="shared" si="7"/>
        <v>19600</v>
      </c>
      <c r="AR152" s="19">
        <f t="shared" si="8"/>
        <v>16333.333333333334</v>
      </c>
      <c r="AS152" s="19">
        <v>16333.34</v>
      </c>
    </row>
    <row r="153" spans="1:45" ht="75" x14ac:dyDescent="0.25">
      <c r="A153" s="22" t="s">
        <v>360</v>
      </c>
      <c r="B153" s="119">
        <v>23</v>
      </c>
      <c r="C153" s="23">
        <v>152</v>
      </c>
      <c r="D153" s="320" t="s">
        <v>430</v>
      </c>
      <c r="E153" s="320" t="s">
        <v>430</v>
      </c>
      <c r="F153" s="320" t="s">
        <v>430</v>
      </c>
      <c r="G153" s="311" t="s">
        <v>431</v>
      </c>
      <c r="H153" s="311" t="s">
        <v>431</v>
      </c>
      <c r="I153" s="16" t="s">
        <v>20</v>
      </c>
      <c r="J153" s="312">
        <v>980</v>
      </c>
      <c r="K153" s="313">
        <v>9800</v>
      </c>
      <c r="L153" s="19"/>
      <c r="M153" s="19"/>
      <c r="N153" s="19"/>
      <c r="O153" s="19"/>
      <c r="P153" s="19"/>
      <c r="Q153" s="19"/>
      <c r="R153" s="19"/>
      <c r="S153" s="19"/>
      <c r="T153" s="19"/>
      <c r="U153" s="19"/>
      <c r="V153" s="19"/>
      <c r="W153" s="19"/>
      <c r="X153" s="312">
        <v>10</v>
      </c>
      <c r="Y153" s="19"/>
      <c r="Z153" s="19"/>
      <c r="AA153" s="19"/>
      <c r="AB153" s="19"/>
      <c r="AC153" s="19"/>
      <c r="AD153" s="19"/>
      <c r="AE153" s="19"/>
      <c r="AF153" s="19"/>
      <c r="AG153" s="19"/>
      <c r="AH153" s="19"/>
      <c r="AI153" s="19"/>
      <c r="AJ153" s="19"/>
      <c r="AK153" s="19"/>
      <c r="AL153" s="19"/>
      <c r="AM153" s="19"/>
      <c r="AN153" s="19"/>
      <c r="AO153" s="19"/>
      <c r="AP153" s="19">
        <f t="shared" si="6"/>
        <v>10</v>
      </c>
      <c r="AQ153" s="21">
        <f t="shared" si="7"/>
        <v>9800</v>
      </c>
      <c r="AR153" s="19">
        <f t="shared" si="8"/>
        <v>8166.666666666667</v>
      </c>
      <c r="AS153" s="19">
        <v>8166.67</v>
      </c>
    </row>
    <row r="154" spans="1:45" ht="60" x14ac:dyDescent="0.25">
      <c r="A154" s="22" t="s">
        <v>76</v>
      </c>
      <c r="B154" s="23">
        <v>28</v>
      </c>
      <c r="C154" s="23">
        <v>153</v>
      </c>
      <c r="D154" s="297" t="s">
        <v>134</v>
      </c>
      <c r="E154" s="297" t="s">
        <v>134</v>
      </c>
      <c r="F154" s="297" t="s">
        <v>134</v>
      </c>
      <c r="G154" s="297" t="s">
        <v>135</v>
      </c>
      <c r="H154" s="297" t="s">
        <v>135</v>
      </c>
      <c r="I154" s="16" t="s">
        <v>20</v>
      </c>
      <c r="J154" s="17">
        <v>1000</v>
      </c>
      <c r="K154" s="18">
        <v>25000</v>
      </c>
      <c r="L154" s="19"/>
      <c r="M154" s="19"/>
      <c r="N154" s="19"/>
      <c r="O154" s="19"/>
      <c r="P154" s="19"/>
      <c r="Q154" s="19"/>
      <c r="R154" s="16">
        <v>25</v>
      </c>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f t="shared" si="6"/>
        <v>25</v>
      </c>
      <c r="AQ154" s="21">
        <f t="shared" si="7"/>
        <v>25000</v>
      </c>
      <c r="AR154" s="19">
        <f t="shared" si="8"/>
        <v>20833.333333333336</v>
      </c>
      <c r="AS154" s="19">
        <v>20833.34</v>
      </c>
    </row>
    <row r="155" spans="1:45" ht="60" x14ac:dyDescent="0.25">
      <c r="A155" s="22" t="s">
        <v>76</v>
      </c>
      <c r="B155" s="23">
        <v>20</v>
      </c>
      <c r="C155" s="23">
        <v>154</v>
      </c>
      <c r="D155" s="297" t="s">
        <v>122</v>
      </c>
      <c r="E155" s="297" t="s">
        <v>122</v>
      </c>
      <c r="F155" s="297" t="s">
        <v>122</v>
      </c>
      <c r="G155" s="297" t="s">
        <v>123</v>
      </c>
      <c r="H155" s="297" t="s">
        <v>123</v>
      </c>
      <c r="I155" s="16" t="s">
        <v>20</v>
      </c>
      <c r="J155" s="17">
        <v>700</v>
      </c>
      <c r="K155" s="18">
        <v>70000</v>
      </c>
      <c r="L155" s="19"/>
      <c r="M155" s="19"/>
      <c r="N155" s="19"/>
      <c r="O155" s="19"/>
      <c r="P155" s="19"/>
      <c r="Q155" s="19"/>
      <c r="R155" s="16">
        <v>100</v>
      </c>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f t="shared" si="6"/>
        <v>100</v>
      </c>
      <c r="AQ155" s="21">
        <f t="shared" si="7"/>
        <v>70000</v>
      </c>
      <c r="AR155" s="19">
        <f t="shared" si="8"/>
        <v>58333.333333333336</v>
      </c>
      <c r="AS155" s="19">
        <v>58333.340000000004</v>
      </c>
    </row>
    <row r="156" spans="1:45" ht="57" customHeight="1" x14ac:dyDescent="0.25">
      <c r="A156" s="22" t="s">
        <v>506</v>
      </c>
      <c r="B156" s="172">
        <v>19</v>
      </c>
      <c r="C156" s="371">
        <v>155</v>
      </c>
      <c r="D156" s="315" t="s">
        <v>551</v>
      </c>
      <c r="E156" s="363" t="s">
        <v>796</v>
      </c>
      <c r="F156" s="315" t="s">
        <v>551</v>
      </c>
      <c r="G156" s="282" t="s">
        <v>552</v>
      </c>
      <c r="H156" s="74" t="s">
        <v>798</v>
      </c>
      <c r="I156" s="16" t="s">
        <v>20</v>
      </c>
      <c r="J156" s="17">
        <v>200</v>
      </c>
      <c r="K156" s="172">
        <v>24000</v>
      </c>
      <c r="L156" s="19"/>
      <c r="M156" s="19"/>
      <c r="N156" s="19"/>
      <c r="O156" s="19"/>
      <c r="P156" s="19"/>
      <c r="Q156" s="19"/>
      <c r="R156" s="19"/>
      <c r="S156" s="19"/>
      <c r="T156" s="19"/>
      <c r="U156" s="19"/>
      <c r="V156" s="19"/>
      <c r="W156" s="19"/>
      <c r="X156" s="19"/>
      <c r="Y156" s="19"/>
      <c r="Z156" s="19"/>
      <c r="AA156" s="176">
        <v>120</v>
      </c>
      <c r="AB156" s="19"/>
      <c r="AC156" s="19"/>
      <c r="AD156" s="19"/>
      <c r="AE156" s="19"/>
      <c r="AF156" s="19"/>
      <c r="AG156" s="19"/>
      <c r="AH156" s="19"/>
      <c r="AI156" s="19"/>
      <c r="AJ156" s="19"/>
      <c r="AK156" s="19"/>
      <c r="AL156" s="19"/>
      <c r="AM156" s="19"/>
      <c r="AN156" s="19"/>
      <c r="AO156" s="19"/>
      <c r="AP156" s="19">
        <f t="shared" si="6"/>
        <v>120</v>
      </c>
      <c r="AQ156" s="21">
        <f t="shared" si="7"/>
        <v>24000</v>
      </c>
      <c r="AR156" s="19">
        <f t="shared" si="8"/>
        <v>20000</v>
      </c>
      <c r="AS156" s="19">
        <v>20000</v>
      </c>
    </row>
    <row r="157" spans="1:45" ht="57" customHeight="1" x14ac:dyDescent="0.25">
      <c r="A157" s="22" t="s">
        <v>506</v>
      </c>
      <c r="B157" s="172">
        <v>19</v>
      </c>
      <c r="C157" s="371">
        <v>156</v>
      </c>
      <c r="D157" s="315" t="s">
        <v>549</v>
      </c>
      <c r="E157" s="363" t="s">
        <v>797</v>
      </c>
      <c r="F157" s="315" t="s">
        <v>549</v>
      </c>
      <c r="G157" s="315" t="s">
        <v>550</v>
      </c>
      <c r="H157" s="74" t="s">
        <v>799</v>
      </c>
      <c r="I157" s="16" t="s">
        <v>20</v>
      </c>
      <c r="J157" s="17">
        <v>200</v>
      </c>
      <c r="K157" s="172">
        <v>48000</v>
      </c>
      <c r="L157" s="19"/>
      <c r="M157" s="19"/>
      <c r="N157" s="19"/>
      <c r="O157" s="19"/>
      <c r="P157" s="19"/>
      <c r="Q157" s="19"/>
      <c r="R157" s="19"/>
      <c r="S157" s="19"/>
      <c r="T157" s="19"/>
      <c r="U157" s="19"/>
      <c r="V157" s="19"/>
      <c r="W157" s="19"/>
      <c r="X157" s="19"/>
      <c r="Y157" s="19"/>
      <c r="Z157" s="19"/>
      <c r="AA157" s="176">
        <v>240</v>
      </c>
      <c r="AB157" s="19"/>
      <c r="AC157" s="19"/>
      <c r="AD157" s="19"/>
      <c r="AE157" s="19"/>
      <c r="AF157" s="19"/>
      <c r="AG157" s="19"/>
      <c r="AH157" s="19"/>
      <c r="AI157" s="19"/>
      <c r="AJ157" s="19"/>
      <c r="AK157" s="19"/>
      <c r="AL157" s="19"/>
      <c r="AM157" s="19"/>
      <c r="AN157" s="19"/>
      <c r="AO157" s="19"/>
      <c r="AP157" s="19">
        <f t="shared" si="6"/>
        <v>240</v>
      </c>
      <c r="AQ157" s="21">
        <f t="shared" si="7"/>
        <v>48000</v>
      </c>
      <c r="AR157" s="19">
        <f t="shared" si="8"/>
        <v>40000</v>
      </c>
      <c r="AS157" s="19">
        <v>40000</v>
      </c>
    </row>
    <row r="158" spans="1:45" ht="57" customHeight="1" x14ac:dyDescent="0.25">
      <c r="A158" s="22" t="s">
        <v>506</v>
      </c>
      <c r="B158" s="172">
        <v>19</v>
      </c>
      <c r="C158" s="371">
        <v>157</v>
      </c>
      <c r="D158" s="315" t="s">
        <v>553</v>
      </c>
      <c r="E158" s="363" t="s">
        <v>801</v>
      </c>
      <c r="F158" s="315" t="s">
        <v>553</v>
      </c>
      <c r="G158" s="282" t="s">
        <v>554</v>
      </c>
      <c r="H158" s="74" t="s">
        <v>800</v>
      </c>
      <c r="I158" s="16" t="s">
        <v>20</v>
      </c>
      <c r="J158" s="17">
        <v>200</v>
      </c>
      <c r="K158" s="172">
        <v>24000</v>
      </c>
      <c r="L158" s="19"/>
      <c r="M158" s="19"/>
      <c r="N158" s="19"/>
      <c r="O158" s="19"/>
      <c r="P158" s="19"/>
      <c r="Q158" s="19"/>
      <c r="R158" s="19"/>
      <c r="S158" s="19"/>
      <c r="T158" s="19"/>
      <c r="U158" s="19"/>
      <c r="V158" s="19"/>
      <c r="W158" s="19"/>
      <c r="X158" s="19"/>
      <c r="Y158" s="19"/>
      <c r="Z158" s="19"/>
      <c r="AA158" s="176">
        <v>120</v>
      </c>
      <c r="AB158" s="19"/>
      <c r="AC158" s="19"/>
      <c r="AD158" s="19"/>
      <c r="AE158" s="19"/>
      <c r="AF158" s="19"/>
      <c r="AG158" s="19"/>
      <c r="AH158" s="19"/>
      <c r="AI158" s="19"/>
      <c r="AJ158" s="19"/>
      <c r="AK158" s="19"/>
      <c r="AL158" s="19"/>
      <c r="AM158" s="19"/>
      <c r="AN158" s="19"/>
      <c r="AO158" s="19"/>
      <c r="AP158" s="19">
        <f t="shared" si="6"/>
        <v>120</v>
      </c>
      <c r="AQ158" s="21">
        <f t="shared" si="7"/>
        <v>24000</v>
      </c>
      <c r="AR158" s="19">
        <f t="shared" si="8"/>
        <v>20000</v>
      </c>
      <c r="AS158" s="19">
        <v>20000</v>
      </c>
    </row>
    <row r="159" spans="1:45" ht="57" customHeight="1" x14ac:dyDescent="0.25">
      <c r="A159" s="22" t="s">
        <v>506</v>
      </c>
      <c r="B159" s="172">
        <v>19</v>
      </c>
      <c r="C159" s="371">
        <v>158</v>
      </c>
      <c r="D159" s="315" t="s">
        <v>547</v>
      </c>
      <c r="E159" s="363" t="s">
        <v>803</v>
      </c>
      <c r="F159" s="315" t="s">
        <v>547</v>
      </c>
      <c r="G159" s="315" t="s">
        <v>548</v>
      </c>
      <c r="H159" s="74" t="s">
        <v>802</v>
      </c>
      <c r="I159" s="16" t="s">
        <v>20</v>
      </c>
      <c r="J159" s="17">
        <v>200</v>
      </c>
      <c r="K159" s="172">
        <v>32000</v>
      </c>
      <c r="L159" s="19"/>
      <c r="M159" s="19"/>
      <c r="N159" s="19"/>
      <c r="O159" s="19"/>
      <c r="P159" s="19"/>
      <c r="Q159" s="19"/>
      <c r="R159" s="19"/>
      <c r="S159" s="19"/>
      <c r="T159" s="19"/>
      <c r="U159" s="19"/>
      <c r="V159" s="19"/>
      <c r="W159" s="19"/>
      <c r="X159" s="19"/>
      <c r="Y159" s="19"/>
      <c r="Z159" s="19"/>
      <c r="AA159" s="176">
        <v>160</v>
      </c>
      <c r="AB159" s="19"/>
      <c r="AC159" s="19"/>
      <c r="AD159" s="19"/>
      <c r="AE159" s="19"/>
      <c r="AF159" s="19"/>
      <c r="AG159" s="19"/>
      <c r="AH159" s="19"/>
      <c r="AI159" s="19"/>
      <c r="AJ159" s="19"/>
      <c r="AK159" s="19"/>
      <c r="AL159" s="19"/>
      <c r="AM159" s="19"/>
      <c r="AN159" s="19"/>
      <c r="AO159" s="19"/>
      <c r="AP159" s="19">
        <f t="shared" si="6"/>
        <v>160</v>
      </c>
      <c r="AQ159" s="21">
        <f t="shared" si="7"/>
        <v>32000</v>
      </c>
      <c r="AR159" s="19">
        <f t="shared" si="8"/>
        <v>26666.666666666668</v>
      </c>
      <c r="AS159" s="19">
        <v>26666.67</v>
      </c>
    </row>
    <row r="160" spans="1:45" ht="60" x14ac:dyDescent="0.25">
      <c r="A160" s="22" t="s">
        <v>179</v>
      </c>
      <c r="B160" s="23">
        <v>37</v>
      </c>
      <c r="C160" s="23">
        <v>159</v>
      </c>
      <c r="D160" s="12" t="s">
        <v>243</v>
      </c>
      <c r="E160" s="12" t="s">
        <v>243</v>
      </c>
      <c r="F160" s="12" t="s">
        <v>243</v>
      </c>
      <c r="G160" s="12" t="s">
        <v>243</v>
      </c>
      <c r="H160" s="12" t="s">
        <v>243</v>
      </c>
      <c r="I160" s="16" t="s">
        <v>20</v>
      </c>
      <c r="J160" s="17">
        <v>120</v>
      </c>
      <c r="K160" s="18">
        <f>J160*U160</f>
        <v>12000</v>
      </c>
      <c r="L160" s="19"/>
      <c r="M160" s="19"/>
      <c r="N160" s="19"/>
      <c r="O160" s="19"/>
      <c r="P160" s="19"/>
      <c r="Q160" s="19"/>
      <c r="R160" s="19"/>
      <c r="S160" s="19"/>
      <c r="T160" s="19"/>
      <c r="U160" s="16">
        <v>100</v>
      </c>
      <c r="V160" s="19"/>
      <c r="W160" s="19"/>
      <c r="X160" s="19"/>
      <c r="Y160" s="19"/>
      <c r="Z160" s="19"/>
      <c r="AA160" s="19"/>
      <c r="AB160" s="19"/>
      <c r="AC160" s="19"/>
      <c r="AD160" s="19"/>
      <c r="AE160" s="19"/>
      <c r="AF160" s="19"/>
      <c r="AG160" s="19"/>
      <c r="AH160" s="19"/>
      <c r="AI160" s="19"/>
      <c r="AJ160" s="19"/>
      <c r="AK160" s="19"/>
      <c r="AL160" s="19"/>
      <c r="AM160" s="19"/>
      <c r="AN160" s="19"/>
      <c r="AO160" s="19"/>
      <c r="AP160" s="19">
        <f t="shared" si="6"/>
        <v>100</v>
      </c>
      <c r="AQ160" s="21">
        <f t="shared" si="7"/>
        <v>12000</v>
      </c>
      <c r="AR160" s="19">
        <f t="shared" si="8"/>
        <v>10000</v>
      </c>
      <c r="AS160" s="19">
        <v>10000</v>
      </c>
    </row>
    <row r="161" spans="1:45" ht="45" x14ac:dyDescent="0.25">
      <c r="A161" s="22" t="s">
        <v>76</v>
      </c>
      <c r="B161" s="23">
        <v>7</v>
      </c>
      <c r="C161" s="23">
        <v>160</v>
      </c>
      <c r="D161" s="297" t="s">
        <v>90</v>
      </c>
      <c r="E161" s="297" t="s">
        <v>90</v>
      </c>
      <c r="F161" s="297" t="s">
        <v>90</v>
      </c>
      <c r="G161" s="297" t="s">
        <v>91</v>
      </c>
      <c r="H161" s="297" t="s">
        <v>91</v>
      </c>
      <c r="I161" s="16" t="s">
        <v>20</v>
      </c>
      <c r="J161" s="17">
        <v>4500</v>
      </c>
      <c r="K161" s="18">
        <f>J161*R161</f>
        <v>45000</v>
      </c>
      <c r="L161" s="19"/>
      <c r="M161" s="19"/>
      <c r="N161" s="19"/>
      <c r="O161" s="19"/>
      <c r="P161" s="19"/>
      <c r="Q161" s="19"/>
      <c r="R161" s="16">
        <v>10</v>
      </c>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f t="shared" si="6"/>
        <v>10</v>
      </c>
      <c r="AQ161" s="21">
        <f t="shared" si="7"/>
        <v>45000</v>
      </c>
      <c r="AR161" s="19">
        <f t="shared" si="8"/>
        <v>37500</v>
      </c>
      <c r="AS161" s="19">
        <v>37500</v>
      </c>
    </row>
    <row r="162" spans="1:45" ht="45" x14ac:dyDescent="0.25">
      <c r="A162" s="22" t="s">
        <v>76</v>
      </c>
      <c r="B162" s="23">
        <v>5</v>
      </c>
      <c r="C162" s="23">
        <v>161</v>
      </c>
      <c r="D162" s="297" t="s">
        <v>86</v>
      </c>
      <c r="E162" s="297" t="s">
        <v>86</v>
      </c>
      <c r="F162" s="297" t="s">
        <v>86</v>
      </c>
      <c r="G162" s="297" t="s">
        <v>87</v>
      </c>
      <c r="H162" s="297" t="s">
        <v>87</v>
      </c>
      <c r="I162" s="16" t="s">
        <v>20</v>
      </c>
      <c r="J162" s="17">
        <v>4000</v>
      </c>
      <c r="K162" s="18">
        <f>J162*R162</f>
        <v>20000</v>
      </c>
      <c r="L162" s="19"/>
      <c r="M162" s="19"/>
      <c r="N162" s="19"/>
      <c r="O162" s="19"/>
      <c r="P162" s="19"/>
      <c r="Q162" s="19"/>
      <c r="R162" s="16">
        <v>5</v>
      </c>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f t="shared" si="6"/>
        <v>5</v>
      </c>
      <c r="AQ162" s="21">
        <f t="shared" si="7"/>
        <v>20000</v>
      </c>
      <c r="AR162" s="19">
        <f t="shared" si="8"/>
        <v>16666.666666666668</v>
      </c>
      <c r="AS162" s="19">
        <v>16666.669999999998</v>
      </c>
    </row>
    <row r="163" spans="1:45" ht="60" x14ac:dyDescent="0.25">
      <c r="A163" s="22" t="s">
        <v>76</v>
      </c>
      <c r="B163" s="23">
        <v>2</v>
      </c>
      <c r="C163" s="23">
        <v>162</v>
      </c>
      <c r="D163" s="297" t="s">
        <v>80</v>
      </c>
      <c r="E163" s="297" t="s">
        <v>80</v>
      </c>
      <c r="F163" s="297" t="s">
        <v>80</v>
      </c>
      <c r="G163" s="297" t="s">
        <v>81</v>
      </c>
      <c r="H163" s="297" t="s">
        <v>81</v>
      </c>
      <c r="I163" s="16" t="s">
        <v>20</v>
      </c>
      <c r="J163" s="17">
        <v>4000</v>
      </c>
      <c r="K163" s="18">
        <f>J163*R163</f>
        <v>80000</v>
      </c>
      <c r="L163" s="19"/>
      <c r="M163" s="19"/>
      <c r="N163" s="19"/>
      <c r="O163" s="19"/>
      <c r="P163" s="19"/>
      <c r="Q163" s="19"/>
      <c r="R163" s="16">
        <v>20</v>
      </c>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f t="shared" si="6"/>
        <v>20</v>
      </c>
      <c r="AQ163" s="21">
        <f t="shared" si="7"/>
        <v>80000</v>
      </c>
      <c r="AR163" s="19">
        <f t="shared" si="8"/>
        <v>66666.666666666672</v>
      </c>
      <c r="AS163" s="19">
        <v>66666.67</v>
      </c>
    </row>
    <row r="164" spans="1:45" ht="45" x14ac:dyDescent="0.25">
      <c r="A164" s="22" t="s">
        <v>76</v>
      </c>
      <c r="B164" s="23">
        <v>9</v>
      </c>
      <c r="C164" s="23">
        <v>163</v>
      </c>
      <c r="D164" s="297" t="s">
        <v>95</v>
      </c>
      <c r="E164" s="297" t="s">
        <v>95</v>
      </c>
      <c r="F164" s="297" t="s">
        <v>95</v>
      </c>
      <c r="G164" s="297" t="s">
        <v>97</v>
      </c>
      <c r="H164" s="297" t="s">
        <v>97</v>
      </c>
      <c r="I164" s="16" t="s">
        <v>20</v>
      </c>
      <c r="J164" s="17">
        <v>2200</v>
      </c>
      <c r="K164" s="18">
        <f>J164*R164</f>
        <v>55000</v>
      </c>
      <c r="L164" s="19"/>
      <c r="M164" s="19"/>
      <c r="N164" s="19"/>
      <c r="O164" s="19"/>
      <c r="P164" s="19"/>
      <c r="Q164" s="19"/>
      <c r="R164" s="16">
        <v>25</v>
      </c>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f t="shared" si="6"/>
        <v>25</v>
      </c>
      <c r="AQ164" s="21">
        <f t="shared" si="7"/>
        <v>55000</v>
      </c>
      <c r="AR164" s="19">
        <f t="shared" si="8"/>
        <v>45833.333333333336</v>
      </c>
      <c r="AS164" s="19">
        <v>45833.340000000004</v>
      </c>
    </row>
    <row r="165" spans="1:45" ht="45" x14ac:dyDescent="0.25">
      <c r="A165" s="22" t="s">
        <v>76</v>
      </c>
      <c r="B165" s="23">
        <v>4</v>
      </c>
      <c r="C165" s="23">
        <v>164</v>
      </c>
      <c r="D165" s="297" t="s">
        <v>84</v>
      </c>
      <c r="E165" s="297" t="s">
        <v>84</v>
      </c>
      <c r="F165" s="297" t="s">
        <v>84</v>
      </c>
      <c r="G165" s="297" t="s">
        <v>85</v>
      </c>
      <c r="H165" s="297" t="s">
        <v>85</v>
      </c>
      <c r="I165" s="16" t="s">
        <v>20</v>
      </c>
      <c r="J165" s="17">
        <v>2200</v>
      </c>
      <c r="K165" s="18">
        <v>44000</v>
      </c>
      <c r="L165" s="19"/>
      <c r="M165" s="19"/>
      <c r="N165" s="19"/>
      <c r="O165" s="19"/>
      <c r="P165" s="19"/>
      <c r="Q165" s="19"/>
      <c r="R165" s="16">
        <v>20</v>
      </c>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f t="shared" si="6"/>
        <v>20</v>
      </c>
      <c r="AQ165" s="21">
        <f t="shared" si="7"/>
        <v>44000</v>
      </c>
      <c r="AR165" s="19">
        <f t="shared" si="8"/>
        <v>36666.666666666672</v>
      </c>
      <c r="AS165" s="19">
        <v>36666.670000000006</v>
      </c>
    </row>
    <row r="166" spans="1:45" ht="60" x14ac:dyDescent="0.25">
      <c r="A166" s="22" t="s">
        <v>76</v>
      </c>
      <c r="B166" s="23">
        <v>19</v>
      </c>
      <c r="C166" s="23">
        <v>165</v>
      </c>
      <c r="D166" s="297" t="s">
        <v>120</v>
      </c>
      <c r="E166" s="297" t="s">
        <v>120</v>
      </c>
      <c r="F166" s="297" t="s">
        <v>120</v>
      </c>
      <c r="G166" s="297" t="s">
        <v>121</v>
      </c>
      <c r="H166" s="297" t="s">
        <v>121</v>
      </c>
      <c r="I166" s="16" t="s">
        <v>20</v>
      </c>
      <c r="J166" s="17">
        <v>5000</v>
      </c>
      <c r="K166" s="18">
        <v>50000</v>
      </c>
      <c r="L166" s="19"/>
      <c r="M166" s="19"/>
      <c r="N166" s="19"/>
      <c r="O166" s="19"/>
      <c r="P166" s="19"/>
      <c r="Q166" s="19"/>
      <c r="R166" s="16">
        <v>10</v>
      </c>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f t="shared" si="6"/>
        <v>10</v>
      </c>
      <c r="AQ166" s="21">
        <f t="shared" si="7"/>
        <v>50000</v>
      </c>
      <c r="AR166" s="19">
        <f t="shared" si="8"/>
        <v>41666.666666666672</v>
      </c>
      <c r="AS166" s="19">
        <v>41666.670000000006</v>
      </c>
    </row>
    <row r="167" spans="1:45" ht="75" x14ac:dyDescent="0.25">
      <c r="A167" s="22" t="s">
        <v>76</v>
      </c>
      <c r="B167" s="23">
        <v>21</v>
      </c>
      <c r="C167" s="23">
        <v>166</v>
      </c>
      <c r="D167" s="297" t="s">
        <v>124</v>
      </c>
      <c r="E167" s="297" t="s">
        <v>124</v>
      </c>
      <c r="F167" s="297" t="s">
        <v>124</v>
      </c>
      <c r="G167" s="297" t="s">
        <v>125</v>
      </c>
      <c r="H167" s="297" t="s">
        <v>125</v>
      </c>
      <c r="I167" s="16" t="s">
        <v>20</v>
      </c>
      <c r="J167" s="17">
        <v>3000</v>
      </c>
      <c r="K167" s="18">
        <v>60000</v>
      </c>
      <c r="L167" s="19"/>
      <c r="M167" s="19"/>
      <c r="N167" s="19"/>
      <c r="O167" s="19"/>
      <c r="P167" s="19"/>
      <c r="Q167" s="19"/>
      <c r="R167" s="16">
        <v>20</v>
      </c>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f t="shared" si="6"/>
        <v>20</v>
      </c>
      <c r="AQ167" s="21">
        <f t="shared" si="7"/>
        <v>60000</v>
      </c>
      <c r="AR167" s="19">
        <f t="shared" si="8"/>
        <v>50000</v>
      </c>
      <c r="AS167" s="19">
        <v>50000</v>
      </c>
    </row>
    <row r="168" spans="1:45" ht="60" x14ac:dyDescent="0.25">
      <c r="A168" s="22" t="s">
        <v>272</v>
      </c>
      <c r="B168" s="11">
        <v>2</v>
      </c>
      <c r="C168" s="23">
        <v>167</v>
      </c>
      <c r="D168" s="12" t="s">
        <v>277</v>
      </c>
      <c r="E168" s="12" t="s">
        <v>277</v>
      </c>
      <c r="F168" s="12" t="s">
        <v>277</v>
      </c>
      <c r="G168" s="300" t="s">
        <v>279</v>
      </c>
      <c r="H168" s="300" t="s">
        <v>279</v>
      </c>
      <c r="I168" s="16" t="s">
        <v>20</v>
      </c>
      <c r="J168" s="11">
        <v>405</v>
      </c>
      <c r="K168" s="11">
        <f>V168*J168</f>
        <v>28350</v>
      </c>
      <c r="L168" s="19"/>
      <c r="M168" s="19"/>
      <c r="N168" s="19"/>
      <c r="O168" s="19"/>
      <c r="P168" s="19"/>
      <c r="Q168" s="19"/>
      <c r="R168" s="19"/>
      <c r="S168" s="19"/>
      <c r="T168" s="19"/>
      <c r="U168" s="19"/>
      <c r="V168" s="11">
        <v>70</v>
      </c>
      <c r="W168" s="19"/>
      <c r="X168" s="19"/>
      <c r="Y168" s="19"/>
      <c r="Z168" s="19"/>
      <c r="AA168" s="19"/>
      <c r="AB168" s="19"/>
      <c r="AC168" s="19"/>
      <c r="AD168" s="19"/>
      <c r="AE168" s="19"/>
      <c r="AF168" s="19"/>
      <c r="AG168" s="19"/>
      <c r="AH168" s="19"/>
      <c r="AI168" s="19"/>
      <c r="AJ168" s="19"/>
      <c r="AK168" s="19"/>
      <c r="AL168" s="19"/>
      <c r="AM168" s="19"/>
      <c r="AN168" s="19"/>
      <c r="AO168" s="19"/>
      <c r="AP168" s="19">
        <f t="shared" si="6"/>
        <v>70</v>
      </c>
      <c r="AQ168" s="21">
        <f t="shared" si="7"/>
        <v>28350</v>
      </c>
      <c r="AR168" s="19">
        <f t="shared" si="8"/>
        <v>23625</v>
      </c>
      <c r="AS168" s="19">
        <v>23625</v>
      </c>
    </row>
    <row r="169" spans="1:45" ht="60" x14ac:dyDescent="0.25">
      <c r="A169" s="22" t="s">
        <v>452</v>
      </c>
      <c r="B169" s="172"/>
      <c r="C169" s="23">
        <v>168</v>
      </c>
      <c r="D169" s="12" t="s">
        <v>464</v>
      </c>
      <c r="E169" s="12" t="s">
        <v>464</v>
      </c>
      <c r="F169" s="12" t="s">
        <v>464</v>
      </c>
      <c r="G169" s="297" t="s">
        <v>465</v>
      </c>
      <c r="H169" s="297" t="s">
        <v>465</v>
      </c>
      <c r="I169" s="16" t="s">
        <v>20</v>
      </c>
      <c r="J169" s="18">
        <v>770</v>
      </c>
      <c r="K169" s="18">
        <f>J169*Y169</f>
        <v>4620</v>
      </c>
      <c r="L169" s="19"/>
      <c r="M169" s="19"/>
      <c r="N169" s="19"/>
      <c r="O169" s="19"/>
      <c r="P169" s="19"/>
      <c r="Q169" s="19"/>
      <c r="R169" s="19"/>
      <c r="S169" s="19"/>
      <c r="T169" s="19"/>
      <c r="U169" s="19"/>
      <c r="V169" s="19"/>
      <c r="W169" s="19"/>
      <c r="X169" s="19"/>
      <c r="Y169" s="16">
        <v>6</v>
      </c>
      <c r="Z169" s="19"/>
      <c r="AA169" s="19"/>
      <c r="AB169" s="19"/>
      <c r="AC169" s="19"/>
      <c r="AD169" s="19"/>
      <c r="AE169" s="19"/>
      <c r="AF169" s="19"/>
      <c r="AG169" s="19"/>
      <c r="AH169" s="19"/>
      <c r="AI169" s="19"/>
      <c r="AJ169" s="19"/>
      <c r="AK169" s="19"/>
      <c r="AL169" s="19"/>
      <c r="AM169" s="19"/>
      <c r="AN169" s="19"/>
      <c r="AO169" s="19"/>
      <c r="AP169" s="19">
        <f t="shared" si="6"/>
        <v>6</v>
      </c>
      <c r="AQ169" s="21">
        <f t="shared" si="7"/>
        <v>4620</v>
      </c>
      <c r="AR169" s="19">
        <f t="shared" si="8"/>
        <v>3850</v>
      </c>
      <c r="AS169" s="19">
        <v>3850</v>
      </c>
    </row>
    <row r="170" spans="1:45" ht="75" x14ac:dyDescent="0.25">
      <c r="A170" s="22" t="s">
        <v>272</v>
      </c>
      <c r="B170" s="11">
        <v>3</v>
      </c>
      <c r="C170" s="23">
        <v>169</v>
      </c>
      <c r="D170" s="12" t="s">
        <v>280</v>
      </c>
      <c r="E170" s="12" t="s">
        <v>280</v>
      </c>
      <c r="F170" s="12" t="s">
        <v>280</v>
      </c>
      <c r="G170" s="300" t="s">
        <v>282</v>
      </c>
      <c r="H170" s="300" t="s">
        <v>282</v>
      </c>
      <c r="I170" s="16" t="s">
        <v>20</v>
      </c>
      <c r="J170" s="11">
        <v>609</v>
      </c>
      <c r="K170" s="11">
        <f>V170*J170</f>
        <v>36540</v>
      </c>
      <c r="L170" s="19"/>
      <c r="M170" s="19"/>
      <c r="N170" s="19"/>
      <c r="O170" s="19"/>
      <c r="P170" s="19"/>
      <c r="Q170" s="19"/>
      <c r="R170" s="19"/>
      <c r="S170" s="19"/>
      <c r="T170" s="19"/>
      <c r="U170" s="19"/>
      <c r="V170" s="11">
        <v>60</v>
      </c>
      <c r="W170" s="19"/>
      <c r="X170" s="19"/>
      <c r="Y170" s="19"/>
      <c r="Z170" s="19"/>
      <c r="AA170" s="19"/>
      <c r="AB170" s="19"/>
      <c r="AC170" s="19"/>
      <c r="AD170" s="19"/>
      <c r="AE170" s="19"/>
      <c r="AF170" s="19"/>
      <c r="AG170" s="19"/>
      <c r="AH170" s="19"/>
      <c r="AI170" s="19"/>
      <c r="AJ170" s="19"/>
      <c r="AK170" s="19"/>
      <c r="AL170" s="19"/>
      <c r="AM170" s="19"/>
      <c r="AN170" s="19"/>
      <c r="AO170" s="19"/>
      <c r="AP170" s="19">
        <f t="shared" si="6"/>
        <v>60</v>
      </c>
      <c r="AQ170" s="21">
        <f t="shared" si="7"/>
        <v>36540</v>
      </c>
      <c r="AR170" s="19">
        <f t="shared" si="8"/>
        <v>30450</v>
      </c>
      <c r="AS170" s="19">
        <v>30450</v>
      </c>
    </row>
    <row r="171" spans="1:45" ht="60" x14ac:dyDescent="0.25">
      <c r="A171" s="22" t="s">
        <v>452</v>
      </c>
      <c r="B171" s="172"/>
      <c r="C171" s="23">
        <v>170</v>
      </c>
      <c r="D171" s="12" t="s">
        <v>467</v>
      </c>
      <c r="E171" s="12" t="s">
        <v>467</v>
      </c>
      <c r="F171" s="12" t="s">
        <v>467</v>
      </c>
      <c r="G171" s="297" t="s">
        <v>468</v>
      </c>
      <c r="H171" s="297" t="s">
        <v>468</v>
      </c>
      <c r="I171" s="16" t="s">
        <v>20</v>
      </c>
      <c r="J171" s="18">
        <v>1160</v>
      </c>
      <c r="K171" s="18">
        <f>J171*Y171</f>
        <v>13920</v>
      </c>
      <c r="L171" s="19"/>
      <c r="M171" s="19"/>
      <c r="N171" s="19"/>
      <c r="O171" s="19"/>
      <c r="P171" s="19"/>
      <c r="Q171" s="19"/>
      <c r="R171" s="19"/>
      <c r="S171" s="19"/>
      <c r="T171" s="19"/>
      <c r="U171" s="19"/>
      <c r="V171" s="19"/>
      <c r="W171" s="19"/>
      <c r="X171" s="19"/>
      <c r="Y171" s="16">
        <v>12</v>
      </c>
      <c r="Z171" s="19"/>
      <c r="AA171" s="19"/>
      <c r="AB171" s="19"/>
      <c r="AC171" s="19"/>
      <c r="AD171" s="19"/>
      <c r="AE171" s="19"/>
      <c r="AF171" s="19"/>
      <c r="AG171" s="19"/>
      <c r="AH171" s="19"/>
      <c r="AI171" s="19"/>
      <c r="AJ171" s="19"/>
      <c r="AK171" s="19"/>
      <c r="AL171" s="19"/>
      <c r="AM171" s="19"/>
      <c r="AN171" s="19"/>
      <c r="AO171" s="19"/>
      <c r="AP171" s="19">
        <f t="shared" si="6"/>
        <v>12</v>
      </c>
      <c r="AQ171" s="21">
        <f t="shared" si="7"/>
        <v>13920</v>
      </c>
      <c r="AR171" s="19">
        <f t="shared" si="8"/>
        <v>11600</v>
      </c>
      <c r="AS171" s="19">
        <v>11600</v>
      </c>
    </row>
    <row r="172" spans="1:45" ht="60" x14ac:dyDescent="0.25">
      <c r="A172" s="22" t="s">
        <v>452</v>
      </c>
      <c r="B172" s="172"/>
      <c r="C172" s="23">
        <v>171</v>
      </c>
      <c r="D172" s="12" t="s">
        <v>470</v>
      </c>
      <c r="E172" s="12" t="s">
        <v>470</v>
      </c>
      <c r="F172" s="12" t="s">
        <v>470</v>
      </c>
      <c r="G172" s="297" t="s">
        <v>471</v>
      </c>
      <c r="H172" s="297" t="s">
        <v>471</v>
      </c>
      <c r="I172" s="16" t="s">
        <v>20</v>
      </c>
      <c r="J172" s="18">
        <v>1560</v>
      </c>
      <c r="K172" s="18">
        <f>J172*Y172</f>
        <v>31200</v>
      </c>
      <c r="L172" s="19"/>
      <c r="M172" s="19"/>
      <c r="N172" s="19"/>
      <c r="O172" s="19"/>
      <c r="P172" s="19"/>
      <c r="Q172" s="19"/>
      <c r="R172" s="19"/>
      <c r="S172" s="19"/>
      <c r="T172" s="19"/>
      <c r="U172" s="19"/>
      <c r="V172" s="19"/>
      <c r="W172" s="19"/>
      <c r="X172" s="19"/>
      <c r="Y172" s="16">
        <v>20</v>
      </c>
      <c r="Z172" s="19"/>
      <c r="AA172" s="19"/>
      <c r="AB172" s="19"/>
      <c r="AC172" s="19"/>
      <c r="AD172" s="19"/>
      <c r="AE172" s="19"/>
      <c r="AF172" s="19"/>
      <c r="AG172" s="19"/>
      <c r="AH172" s="19"/>
      <c r="AI172" s="19"/>
      <c r="AJ172" s="19"/>
      <c r="AK172" s="19"/>
      <c r="AL172" s="19"/>
      <c r="AM172" s="19"/>
      <c r="AN172" s="19"/>
      <c r="AO172" s="19"/>
      <c r="AP172" s="19">
        <f t="shared" si="6"/>
        <v>20</v>
      </c>
      <c r="AQ172" s="21">
        <f t="shared" si="7"/>
        <v>31200</v>
      </c>
      <c r="AR172" s="19">
        <f t="shared" si="8"/>
        <v>26000</v>
      </c>
      <c r="AS172" s="19">
        <v>26000</v>
      </c>
    </row>
    <row r="173" spans="1:45" ht="60" x14ac:dyDescent="0.25">
      <c r="A173" s="22" t="s">
        <v>272</v>
      </c>
      <c r="B173" s="11">
        <v>4</v>
      </c>
      <c r="C173" s="23">
        <v>172</v>
      </c>
      <c r="D173" s="12" t="s">
        <v>283</v>
      </c>
      <c r="E173" s="12" t="s">
        <v>283</v>
      </c>
      <c r="F173" s="12" t="s">
        <v>283</v>
      </c>
      <c r="G173" s="300" t="s">
        <v>285</v>
      </c>
      <c r="H173" s="300" t="s">
        <v>285</v>
      </c>
      <c r="I173" s="16" t="s">
        <v>20</v>
      </c>
      <c r="J173" s="11">
        <v>1015</v>
      </c>
      <c r="K173" s="11">
        <f>V173*J173</f>
        <v>50750</v>
      </c>
      <c r="L173" s="19"/>
      <c r="M173" s="19"/>
      <c r="N173" s="19"/>
      <c r="O173" s="19"/>
      <c r="P173" s="19"/>
      <c r="Q173" s="19"/>
      <c r="R173" s="19"/>
      <c r="S173" s="19"/>
      <c r="T173" s="19"/>
      <c r="U173" s="19"/>
      <c r="V173" s="11">
        <v>50</v>
      </c>
      <c r="W173" s="19"/>
      <c r="X173" s="19"/>
      <c r="Y173" s="19"/>
      <c r="Z173" s="19"/>
      <c r="AA173" s="19"/>
      <c r="AB173" s="19"/>
      <c r="AC173" s="19"/>
      <c r="AD173" s="19"/>
      <c r="AE173" s="19"/>
      <c r="AF173" s="19"/>
      <c r="AG173" s="19"/>
      <c r="AH173" s="19"/>
      <c r="AI173" s="19"/>
      <c r="AJ173" s="19"/>
      <c r="AK173" s="19"/>
      <c r="AL173" s="19"/>
      <c r="AM173" s="19"/>
      <c r="AN173" s="19"/>
      <c r="AO173" s="19"/>
      <c r="AP173" s="19">
        <f t="shared" si="6"/>
        <v>50</v>
      </c>
      <c r="AQ173" s="21">
        <f t="shared" si="7"/>
        <v>50750</v>
      </c>
      <c r="AR173" s="19">
        <f t="shared" si="8"/>
        <v>42291.666666666672</v>
      </c>
      <c r="AS173" s="19">
        <v>42291.670000000006</v>
      </c>
    </row>
    <row r="174" spans="1:45" ht="60" x14ac:dyDescent="0.25">
      <c r="A174" s="22" t="s">
        <v>272</v>
      </c>
      <c r="B174" s="11">
        <v>5</v>
      </c>
      <c r="C174" s="23">
        <v>173</v>
      </c>
      <c r="D174" s="12" t="s">
        <v>286</v>
      </c>
      <c r="E174" s="12" t="s">
        <v>286</v>
      </c>
      <c r="F174" s="12" t="s">
        <v>286</v>
      </c>
      <c r="G174" s="300" t="s">
        <v>288</v>
      </c>
      <c r="H174" s="300" t="s">
        <v>288</v>
      </c>
      <c r="I174" s="16" t="s">
        <v>20</v>
      </c>
      <c r="J174" s="11">
        <v>1218</v>
      </c>
      <c r="K174" s="11">
        <f>V174*J174</f>
        <v>24360</v>
      </c>
      <c r="L174" s="19"/>
      <c r="M174" s="19"/>
      <c r="N174" s="19"/>
      <c r="O174" s="19"/>
      <c r="P174" s="19"/>
      <c r="Q174" s="19"/>
      <c r="R174" s="19"/>
      <c r="S174" s="19"/>
      <c r="T174" s="19"/>
      <c r="U174" s="19"/>
      <c r="V174" s="11">
        <v>20</v>
      </c>
      <c r="W174" s="19"/>
      <c r="X174" s="19"/>
      <c r="Y174" s="19"/>
      <c r="Z174" s="19"/>
      <c r="AA174" s="19"/>
      <c r="AB174" s="19"/>
      <c r="AC174" s="19"/>
      <c r="AD174" s="19"/>
      <c r="AE174" s="19"/>
      <c r="AF174" s="19"/>
      <c r="AG174" s="19"/>
      <c r="AH174" s="19"/>
      <c r="AI174" s="19"/>
      <c r="AJ174" s="19"/>
      <c r="AK174" s="19"/>
      <c r="AL174" s="19"/>
      <c r="AM174" s="19"/>
      <c r="AN174" s="19"/>
      <c r="AO174" s="19"/>
      <c r="AP174" s="19">
        <f t="shared" si="6"/>
        <v>20</v>
      </c>
      <c r="AQ174" s="21">
        <f t="shared" si="7"/>
        <v>24360</v>
      </c>
      <c r="AR174" s="19">
        <f t="shared" si="8"/>
        <v>20300</v>
      </c>
      <c r="AS174" s="19">
        <v>20300</v>
      </c>
    </row>
    <row r="175" spans="1:45" ht="60" x14ac:dyDescent="0.25">
      <c r="A175" s="22"/>
      <c r="B175" s="11">
        <v>1</v>
      </c>
      <c r="C175" s="23">
        <v>174</v>
      </c>
      <c r="D175" s="12" t="s">
        <v>274</v>
      </c>
      <c r="E175" s="12" t="s">
        <v>274</v>
      </c>
      <c r="F175" s="12" t="s">
        <v>274</v>
      </c>
      <c r="G175" s="300" t="s">
        <v>276</v>
      </c>
      <c r="H175" s="300" t="s">
        <v>276</v>
      </c>
      <c r="I175" s="16" t="s">
        <v>20</v>
      </c>
      <c r="J175" s="11">
        <v>305</v>
      </c>
      <c r="K175" s="11">
        <f>V175*J175</f>
        <v>6100</v>
      </c>
      <c r="L175" s="19"/>
      <c r="M175" s="19"/>
      <c r="N175" s="19"/>
      <c r="O175" s="19"/>
      <c r="P175" s="19"/>
      <c r="Q175" s="19"/>
      <c r="R175" s="19"/>
      <c r="S175" s="19"/>
      <c r="T175" s="19"/>
      <c r="U175" s="19"/>
      <c r="V175" s="11">
        <v>20</v>
      </c>
      <c r="W175" s="19"/>
      <c r="X175" s="19"/>
      <c r="Y175" s="19"/>
      <c r="Z175" s="19"/>
      <c r="AA175" s="19"/>
      <c r="AB175" s="19"/>
      <c r="AC175" s="19"/>
      <c r="AD175" s="19"/>
      <c r="AE175" s="19"/>
      <c r="AF175" s="19"/>
      <c r="AG175" s="19"/>
      <c r="AH175" s="19"/>
      <c r="AI175" s="19"/>
      <c r="AJ175" s="19"/>
      <c r="AK175" s="19"/>
      <c r="AL175" s="19"/>
      <c r="AM175" s="19"/>
      <c r="AN175" s="19"/>
      <c r="AO175" s="19"/>
      <c r="AP175" s="19">
        <f t="shared" si="6"/>
        <v>20</v>
      </c>
      <c r="AQ175" s="21">
        <f t="shared" si="7"/>
        <v>6100</v>
      </c>
      <c r="AR175" s="19">
        <f t="shared" si="8"/>
        <v>5083.3333333333339</v>
      </c>
      <c r="AS175" s="19">
        <v>5083.34</v>
      </c>
    </row>
    <row r="176" spans="1:45" ht="45" x14ac:dyDescent="0.25">
      <c r="A176" s="22" t="s">
        <v>308</v>
      </c>
      <c r="B176" s="278">
        <v>2</v>
      </c>
      <c r="C176" s="23">
        <v>175</v>
      </c>
      <c r="D176" s="299" t="s">
        <v>344</v>
      </c>
      <c r="E176" s="299" t="s">
        <v>344</v>
      </c>
      <c r="F176" s="299" t="s">
        <v>344</v>
      </c>
      <c r="G176" s="299" t="s">
        <v>345</v>
      </c>
      <c r="H176" s="299" t="s">
        <v>345</v>
      </c>
      <c r="I176" s="16" t="s">
        <v>20</v>
      </c>
      <c r="J176" s="49">
        <v>22</v>
      </c>
      <c r="K176" s="49">
        <v>22000</v>
      </c>
      <c r="L176" s="19"/>
      <c r="M176" s="19"/>
      <c r="N176" s="19"/>
      <c r="O176" s="19"/>
      <c r="P176" s="19"/>
      <c r="Q176" s="19"/>
      <c r="R176" s="19"/>
      <c r="S176" s="19"/>
      <c r="T176" s="19"/>
      <c r="U176" s="19"/>
      <c r="V176" s="19"/>
      <c r="W176" s="47">
        <v>1000</v>
      </c>
      <c r="X176" s="19"/>
      <c r="Y176" s="19"/>
      <c r="Z176" s="19"/>
      <c r="AA176" s="19"/>
      <c r="AB176" s="19"/>
      <c r="AC176" s="19"/>
      <c r="AD176" s="19"/>
      <c r="AE176" s="19"/>
      <c r="AF176" s="19"/>
      <c r="AG176" s="19"/>
      <c r="AH176" s="19"/>
      <c r="AI176" s="19"/>
      <c r="AJ176" s="19"/>
      <c r="AK176" s="19"/>
      <c r="AL176" s="19"/>
      <c r="AM176" s="19"/>
      <c r="AN176" s="19"/>
      <c r="AO176" s="19"/>
      <c r="AP176" s="19">
        <f t="shared" si="6"/>
        <v>1000</v>
      </c>
      <c r="AQ176" s="21">
        <f t="shared" si="7"/>
        <v>22000</v>
      </c>
      <c r="AR176" s="19">
        <f t="shared" si="8"/>
        <v>18333.333333333336</v>
      </c>
      <c r="AS176" s="19">
        <v>18333.34</v>
      </c>
    </row>
    <row r="177" spans="1:46" ht="45" x14ac:dyDescent="0.25">
      <c r="A177" s="22" t="s">
        <v>572</v>
      </c>
      <c r="B177" s="205">
        <v>6</v>
      </c>
      <c r="C177" s="23">
        <v>176</v>
      </c>
      <c r="D177" s="302" t="s">
        <v>583</v>
      </c>
      <c r="E177" s="302" t="s">
        <v>583</v>
      </c>
      <c r="F177" s="302" t="s">
        <v>583</v>
      </c>
      <c r="G177" s="302" t="s">
        <v>584</v>
      </c>
      <c r="H177" s="302" t="s">
        <v>584</v>
      </c>
      <c r="I177" s="174" t="s">
        <v>585</v>
      </c>
      <c r="J177" s="288">
        <v>7000</v>
      </c>
      <c r="K177" s="289">
        <v>28000</v>
      </c>
      <c r="L177" s="19"/>
      <c r="M177" s="19"/>
      <c r="N177" s="19"/>
      <c r="O177" s="19"/>
      <c r="P177" s="19"/>
      <c r="Q177" s="19"/>
      <c r="R177" s="19"/>
      <c r="S177" s="19"/>
      <c r="T177" s="19"/>
      <c r="U177" s="19"/>
      <c r="V177" s="19"/>
      <c r="W177" s="19"/>
      <c r="X177" s="19"/>
      <c r="Y177" s="19"/>
      <c r="Z177" s="19"/>
      <c r="AA177" s="19"/>
      <c r="AB177" s="174">
        <v>4</v>
      </c>
      <c r="AC177" s="19"/>
      <c r="AD177" s="19"/>
      <c r="AE177" s="19"/>
      <c r="AF177" s="19"/>
      <c r="AG177" s="19"/>
      <c r="AH177" s="19"/>
      <c r="AI177" s="19"/>
      <c r="AJ177" s="19"/>
      <c r="AK177" s="19"/>
      <c r="AL177" s="19"/>
      <c r="AM177" s="19"/>
      <c r="AN177" s="19"/>
      <c r="AO177" s="19"/>
      <c r="AP177" s="19">
        <f t="shared" si="6"/>
        <v>4</v>
      </c>
      <c r="AQ177" s="21">
        <f t="shared" si="7"/>
        <v>28000</v>
      </c>
      <c r="AR177" s="19">
        <f t="shared" si="8"/>
        <v>23333.333333333336</v>
      </c>
      <c r="AS177" s="19">
        <v>23333.34</v>
      </c>
    </row>
    <row r="178" spans="1:46" ht="60" x14ac:dyDescent="0.25">
      <c r="A178" s="22" t="s">
        <v>272</v>
      </c>
      <c r="B178" s="11">
        <v>6</v>
      </c>
      <c r="C178" s="23">
        <v>177</v>
      </c>
      <c r="D178" s="12" t="s">
        <v>289</v>
      </c>
      <c r="E178" s="12" t="s">
        <v>289</v>
      </c>
      <c r="F178" s="12" t="s">
        <v>289</v>
      </c>
      <c r="G178" s="12" t="s">
        <v>291</v>
      </c>
      <c r="H178" s="12" t="s">
        <v>291</v>
      </c>
      <c r="I178" s="11" t="s">
        <v>292</v>
      </c>
      <c r="J178" s="11">
        <v>6</v>
      </c>
      <c r="K178" s="11">
        <f>V178*J178</f>
        <v>42000</v>
      </c>
      <c r="L178" s="19"/>
      <c r="M178" s="19"/>
      <c r="N178" s="19"/>
      <c r="O178" s="19"/>
      <c r="P178" s="19"/>
      <c r="Q178" s="19"/>
      <c r="R178" s="19"/>
      <c r="S178" s="19"/>
      <c r="T178" s="19"/>
      <c r="U178" s="19"/>
      <c r="V178" s="11">
        <v>7000</v>
      </c>
      <c r="W178" s="19"/>
      <c r="X178" s="19"/>
      <c r="Y178" s="19"/>
      <c r="Z178" s="19"/>
      <c r="AA178" s="19"/>
      <c r="AB178" s="19"/>
      <c r="AC178" s="19"/>
      <c r="AD178" s="19"/>
      <c r="AE178" s="19"/>
      <c r="AF178" s="19"/>
      <c r="AG178" s="19"/>
      <c r="AH178" s="19"/>
      <c r="AI178" s="19"/>
      <c r="AJ178" s="19"/>
      <c r="AK178" s="19"/>
      <c r="AL178" s="19"/>
      <c r="AM178" s="19"/>
      <c r="AN178" s="19"/>
      <c r="AO178" s="19"/>
      <c r="AP178" s="19">
        <f t="shared" si="6"/>
        <v>7000</v>
      </c>
      <c r="AQ178" s="21">
        <f t="shared" si="7"/>
        <v>42000</v>
      </c>
      <c r="AR178" s="19">
        <f t="shared" si="8"/>
        <v>35000</v>
      </c>
      <c r="AS178" s="19">
        <v>35000</v>
      </c>
    </row>
    <row r="179" spans="1:46" ht="30" x14ac:dyDescent="0.25">
      <c r="A179" s="22" t="s">
        <v>179</v>
      </c>
      <c r="B179" s="23">
        <v>25</v>
      </c>
      <c r="C179" s="23">
        <v>178</v>
      </c>
      <c r="D179" s="282" t="s">
        <v>234</v>
      </c>
      <c r="E179" s="282" t="s">
        <v>234</v>
      </c>
      <c r="F179" s="282" t="s">
        <v>234</v>
      </c>
      <c r="G179" s="282" t="s">
        <v>236</v>
      </c>
      <c r="H179" s="282" t="s">
        <v>236</v>
      </c>
      <c r="I179" s="16" t="s">
        <v>20</v>
      </c>
      <c r="J179" s="17">
        <v>500</v>
      </c>
      <c r="K179" s="18">
        <f>J179*U179</f>
        <v>25000</v>
      </c>
      <c r="L179" s="19"/>
      <c r="M179" s="19"/>
      <c r="N179" s="19"/>
      <c r="O179" s="19"/>
      <c r="P179" s="19"/>
      <c r="Q179" s="19"/>
      <c r="R179" s="19"/>
      <c r="S179" s="19"/>
      <c r="T179" s="19"/>
      <c r="U179" s="16">
        <v>50</v>
      </c>
      <c r="V179" s="19"/>
      <c r="W179" s="19"/>
      <c r="X179" s="19"/>
      <c r="Y179" s="19"/>
      <c r="Z179" s="19"/>
      <c r="AA179" s="19"/>
      <c r="AB179" s="19"/>
      <c r="AC179" s="19"/>
      <c r="AD179" s="19"/>
      <c r="AE179" s="19"/>
      <c r="AF179" s="19"/>
      <c r="AG179" s="19"/>
      <c r="AH179" s="19"/>
      <c r="AI179" s="19"/>
      <c r="AJ179" s="19"/>
      <c r="AK179" s="19"/>
      <c r="AL179" s="19"/>
      <c r="AM179" s="19"/>
      <c r="AN179" s="19"/>
      <c r="AO179" s="19"/>
      <c r="AP179" s="19">
        <f t="shared" si="6"/>
        <v>50</v>
      </c>
      <c r="AQ179" s="21">
        <f t="shared" si="7"/>
        <v>25000</v>
      </c>
      <c r="AR179" s="19">
        <f t="shared" si="8"/>
        <v>20833.333333333336</v>
      </c>
      <c r="AS179" s="19">
        <v>20833.34</v>
      </c>
    </row>
    <row r="180" spans="1:46" ht="75" x14ac:dyDescent="0.25">
      <c r="A180" s="22" t="s">
        <v>506</v>
      </c>
      <c r="B180" s="172">
        <v>18</v>
      </c>
      <c r="C180" s="23">
        <v>179</v>
      </c>
      <c r="D180" s="301" t="s">
        <v>544</v>
      </c>
      <c r="E180" s="301" t="s">
        <v>544</v>
      </c>
      <c r="F180" s="301" t="s">
        <v>544</v>
      </c>
      <c r="G180" s="301" t="s">
        <v>545</v>
      </c>
      <c r="H180" s="301" t="s">
        <v>545</v>
      </c>
      <c r="I180" s="16" t="s">
        <v>20</v>
      </c>
      <c r="J180" s="17">
        <v>1500</v>
      </c>
      <c r="K180" s="172">
        <v>4500</v>
      </c>
      <c r="L180" s="19"/>
      <c r="M180" s="19"/>
      <c r="N180" s="19"/>
      <c r="O180" s="19"/>
      <c r="P180" s="19"/>
      <c r="Q180" s="19"/>
      <c r="R180" s="19"/>
      <c r="S180" s="19"/>
      <c r="T180" s="19"/>
      <c r="U180" s="19"/>
      <c r="V180" s="19"/>
      <c r="W180" s="19"/>
      <c r="X180" s="19"/>
      <c r="Y180" s="19"/>
      <c r="Z180" s="19"/>
      <c r="AA180" s="176">
        <v>3</v>
      </c>
      <c r="AB180" s="19"/>
      <c r="AC180" s="19"/>
      <c r="AD180" s="19"/>
      <c r="AE180" s="19"/>
      <c r="AF180" s="19"/>
      <c r="AG180" s="19"/>
      <c r="AH180" s="19"/>
      <c r="AI180" s="19"/>
      <c r="AJ180" s="19"/>
      <c r="AK180" s="19"/>
      <c r="AL180" s="19"/>
      <c r="AM180" s="19"/>
      <c r="AN180" s="19"/>
      <c r="AO180" s="19"/>
      <c r="AP180" s="19">
        <f t="shared" si="6"/>
        <v>3</v>
      </c>
      <c r="AQ180" s="21">
        <f t="shared" si="7"/>
        <v>4500</v>
      </c>
      <c r="AR180" s="19">
        <f t="shared" si="8"/>
        <v>3750</v>
      </c>
      <c r="AS180" s="19">
        <v>3750</v>
      </c>
    </row>
    <row r="181" spans="1:46" ht="75" x14ac:dyDescent="0.25">
      <c r="A181" s="22" t="s">
        <v>506</v>
      </c>
      <c r="B181" s="172">
        <v>16</v>
      </c>
      <c r="C181" s="23">
        <v>180</v>
      </c>
      <c r="D181" s="301" t="s">
        <v>539</v>
      </c>
      <c r="E181" s="301" t="s">
        <v>539</v>
      </c>
      <c r="F181" s="301" t="s">
        <v>539</v>
      </c>
      <c r="G181" s="301" t="s">
        <v>540</v>
      </c>
      <c r="H181" s="301" t="s">
        <v>540</v>
      </c>
      <c r="I181" s="16" t="s">
        <v>20</v>
      </c>
      <c r="J181" s="17">
        <v>1500</v>
      </c>
      <c r="K181" s="172">
        <v>6000</v>
      </c>
      <c r="L181" s="19"/>
      <c r="M181" s="19"/>
      <c r="N181" s="19"/>
      <c r="O181" s="19"/>
      <c r="P181" s="19"/>
      <c r="Q181" s="19"/>
      <c r="R181" s="19"/>
      <c r="S181" s="19"/>
      <c r="T181" s="19"/>
      <c r="U181" s="19"/>
      <c r="V181" s="19"/>
      <c r="W181" s="19"/>
      <c r="X181" s="19"/>
      <c r="Y181" s="19"/>
      <c r="Z181" s="19"/>
      <c r="AA181" s="176">
        <v>4</v>
      </c>
      <c r="AB181" s="19"/>
      <c r="AC181" s="19"/>
      <c r="AD181" s="19"/>
      <c r="AE181" s="19"/>
      <c r="AF181" s="19"/>
      <c r="AG181" s="19"/>
      <c r="AH181" s="19"/>
      <c r="AI181" s="19"/>
      <c r="AJ181" s="19"/>
      <c r="AK181" s="19"/>
      <c r="AL181" s="19"/>
      <c r="AM181" s="19"/>
      <c r="AN181" s="19"/>
      <c r="AO181" s="19"/>
      <c r="AP181" s="19">
        <f t="shared" si="6"/>
        <v>4</v>
      </c>
      <c r="AQ181" s="21">
        <f t="shared" si="7"/>
        <v>6000</v>
      </c>
      <c r="AR181" s="19">
        <f t="shared" si="8"/>
        <v>5000</v>
      </c>
      <c r="AS181" s="19">
        <v>5000</v>
      </c>
    </row>
    <row r="182" spans="1:46" ht="45" x14ac:dyDescent="0.25">
      <c r="A182" s="22" t="s">
        <v>179</v>
      </c>
      <c r="B182" s="23">
        <v>38</v>
      </c>
      <c r="C182" s="23">
        <v>181</v>
      </c>
      <c r="D182" s="12" t="s">
        <v>244</v>
      </c>
      <c r="E182" s="12" t="s">
        <v>244</v>
      </c>
      <c r="F182" s="12" t="s">
        <v>244</v>
      </c>
      <c r="G182" s="297" t="s">
        <v>246</v>
      </c>
      <c r="H182" s="297" t="s">
        <v>246</v>
      </c>
      <c r="I182" s="16" t="s">
        <v>20</v>
      </c>
      <c r="J182" s="17">
        <v>100</v>
      </c>
      <c r="K182" s="18">
        <f>J182*U182</f>
        <v>20000</v>
      </c>
      <c r="L182" s="19"/>
      <c r="M182" s="19"/>
      <c r="N182" s="19"/>
      <c r="O182" s="19"/>
      <c r="P182" s="19"/>
      <c r="Q182" s="19"/>
      <c r="R182" s="19"/>
      <c r="S182" s="19"/>
      <c r="T182" s="19"/>
      <c r="U182" s="16">
        <v>200</v>
      </c>
      <c r="V182" s="19"/>
      <c r="W182" s="19"/>
      <c r="X182" s="19"/>
      <c r="Y182" s="19"/>
      <c r="Z182" s="19"/>
      <c r="AA182" s="19"/>
      <c r="AB182" s="19"/>
      <c r="AC182" s="19"/>
      <c r="AD182" s="19"/>
      <c r="AE182" s="19"/>
      <c r="AF182" s="19"/>
      <c r="AG182" s="19"/>
      <c r="AH182" s="19"/>
      <c r="AI182" s="19"/>
      <c r="AJ182" s="19"/>
      <c r="AK182" s="19"/>
      <c r="AL182" s="19"/>
      <c r="AM182" s="19"/>
      <c r="AN182" s="19"/>
      <c r="AO182" s="19"/>
      <c r="AP182" s="19">
        <f t="shared" si="6"/>
        <v>200</v>
      </c>
      <c r="AQ182" s="21">
        <f t="shared" si="7"/>
        <v>20000</v>
      </c>
      <c r="AR182" s="19">
        <f t="shared" si="8"/>
        <v>16666.666666666668</v>
      </c>
      <c r="AS182" s="19">
        <v>16666.669999999998</v>
      </c>
    </row>
    <row r="183" spans="1:46" ht="75" x14ac:dyDescent="0.25">
      <c r="A183" s="22" t="s">
        <v>506</v>
      </c>
      <c r="B183" s="326">
        <v>4</v>
      </c>
      <c r="C183" s="23">
        <v>182</v>
      </c>
      <c r="D183" s="301" t="s">
        <v>512</v>
      </c>
      <c r="E183" s="301" t="s">
        <v>512</v>
      </c>
      <c r="F183" s="301" t="s">
        <v>512</v>
      </c>
      <c r="G183" s="301" t="s">
        <v>513</v>
      </c>
      <c r="H183" s="301" t="s">
        <v>513</v>
      </c>
      <c r="I183" s="16" t="s">
        <v>20</v>
      </c>
      <c r="J183" s="17">
        <v>333</v>
      </c>
      <c r="K183" s="305">
        <v>6660</v>
      </c>
      <c r="L183" s="19"/>
      <c r="M183" s="19"/>
      <c r="N183" s="19"/>
      <c r="O183" s="19"/>
      <c r="P183" s="19"/>
      <c r="Q183" s="19"/>
      <c r="R183" s="19"/>
      <c r="S183" s="19"/>
      <c r="T183" s="19"/>
      <c r="U183" s="19"/>
      <c r="V183" s="19"/>
      <c r="W183" s="19"/>
      <c r="X183" s="19"/>
      <c r="Y183" s="19"/>
      <c r="Z183" s="19"/>
      <c r="AA183" s="327">
        <v>20</v>
      </c>
      <c r="AB183" s="19"/>
      <c r="AC183" s="19"/>
      <c r="AD183" s="19"/>
      <c r="AE183" s="19"/>
      <c r="AF183" s="19"/>
      <c r="AG183" s="19"/>
      <c r="AH183" s="19"/>
      <c r="AI183" s="19"/>
      <c r="AJ183" s="19"/>
      <c r="AK183" s="19"/>
      <c r="AL183" s="19"/>
      <c r="AM183" s="19"/>
      <c r="AN183" s="19"/>
      <c r="AO183" s="19"/>
      <c r="AP183" s="19">
        <f t="shared" si="6"/>
        <v>20</v>
      </c>
      <c r="AQ183" s="21">
        <f t="shared" si="7"/>
        <v>6660</v>
      </c>
      <c r="AR183" s="19">
        <f t="shared" si="8"/>
        <v>5550</v>
      </c>
      <c r="AS183" s="19">
        <v>5550</v>
      </c>
    </row>
    <row r="184" spans="1:46" ht="60" x14ac:dyDescent="0.25">
      <c r="A184" s="22" t="s">
        <v>506</v>
      </c>
      <c r="B184" s="326">
        <v>6</v>
      </c>
      <c r="C184" s="23">
        <v>183</v>
      </c>
      <c r="D184" s="301" t="s">
        <v>516</v>
      </c>
      <c r="E184" s="301" t="s">
        <v>516</v>
      </c>
      <c r="F184" s="301" t="s">
        <v>516</v>
      </c>
      <c r="G184" s="301" t="s">
        <v>516</v>
      </c>
      <c r="H184" s="301" t="s">
        <v>516</v>
      </c>
      <c r="I184" s="16" t="s">
        <v>20</v>
      </c>
      <c r="J184" s="17">
        <v>400</v>
      </c>
      <c r="K184" s="305">
        <v>800</v>
      </c>
      <c r="L184" s="19"/>
      <c r="M184" s="19"/>
      <c r="N184" s="19"/>
      <c r="O184" s="19"/>
      <c r="P184" s="19"/>
      <c r="Q184" s="19"/>
      <c r="R184" s="19"/>
      <c r="S184" s="19"/>
      <c r="T184" s="19"/>
      <c r="U184" s="19"/>
      <c r="V184" s="19"/>
      <c r="W184" s="19"/>
      <c r="X184" s="19"/>
      <c r="Y184" s="19"/>
      <c r="Z184" s="19"/>
      <c r="AA184" s="327">
        <v>2</v>
      </c>
      <c r="AB184" s="19"/>
      <c r="AC184" s="19"/>
      <c r="AD184" s="19"/>
      <c r="AE184" s="19"/>
      <c r="AF184" s="19"/>
      <c r="AG184" s="19"/>
      <c r="AH184" s="19"/>
      <c r="AI184" s="19"/>
      <c r="AJ184" s="19"/>
      <c r="AK184" s="19"/>
      <c r="AL184" s="19"/>
      <c r="AM184" s="19"/>
      <c r="AN184" s="19"/>
      <c r="AO184" s="19"/>
      <c r="AP184" s="19">
        <f t="shared" si="6"/>
        <v>2</v>
      </c>
      <c r="AQ184" s="21">
        <f t="shared" si="7"/>
        <v>800</v>
      </c>
      <c r="AR184" s="19">
        <f t="shared" si="8"/>
        <v>666.66666666666674</v>
      </c>
      <c r="AS184" s="19">
        <v>666.67</v>
      </c>
    </row>
    <row r="185" spans="1:46" ht="75" x14ac:dyDescent="0.25">
      <c r="A185" s="22" t="s">
        <v>506</v>
      </c>
      <c r="B185" s="326">
        <v>5</v>
      </c>
      <c r="C185" s="23">
        <v>184</v>
      </c>
      <c r="D185" s="301" t="s">
        <v>514</v>
      </c>
      <c r="E185" s="301" t="s">
        <v>514</v>
      </c>
      <c r="F185" s="301" t="s">
        <v>514</v>
      </c>
      <c r="G185" s="301" t="s">
        <v>515</v>
      </c>
      <c r="H185" s="301" t="s">
        <v>515</v>
      </c>
      <c r="I185" s="16" t="s">
        <v>20</v>
      </c>
      <c r="J185" s="17">
        <v>400</v>
      </c>
      <c r="K185" s="305">
        <v>1600</v>
      </c>
      <c r="L185" s="19"/>
      <c r="M185" s="19"/>
      <c r="N185" s="19"/>
      <c r="O185" s="19"/>
      <c r="P185" s="19"/>
      <c r="Q185" s="19"/>
      <c r="R185" s="19"/>
      <c r="S185" s="19"/>
      <c r="T185" s="19"/>
      <c r="U185" s="19"/>
      <c r="V185" s="19"/>
      <c r="W185" s="19"/>
      <c r="X185" s="19"/>
      <c r="Y185" s="19"/>
      <c r="Z185" s="19"/>
      <c r="AA185" s="327">
        <v>4</v>
      </c>
      <c r="AB185" s="19"/>
      <c r="AC185" s="19"/>
      <c r="AD185" s="19"/>
      <c r="AE185" s="19"/>
      <c r="AF185" s="19"/>
      <c r="AG185" s="19"/>
      <c r="AH185" s="19"/>
      <c r="AI185" s="19"/>
      <c r="AJ185" s="19"/>
      <c r="AK185" s="19"/>
      <c r="AL185" s="19"/>
      <c r="AM185" s="19"/>
      <c r="AN185" s="19"/>
      <c r="AO185" s="19"/>
      <c r="AP185" s="19">
        <f t="shared" si="6"/>
        <v>4</v>
      </c>
      <c r="AQ185" s="21">
        <f t="shared" si="7"/>
        <v>1600</v>
      </c>
      <c r="AR185" s="19">
        <f t="shared" si="8"/>
        <v>1333.3333333333335</v>
      </c>
      <c r="AS185" s="19">
        <v>1333.34</v>
      </c>
    </row>
    <row r="186" spans="1:46" ht="60" x14ac:dyDescent="0.25">
      <c r="A186" s="22" t="s">
        <v>179</v>
      </c>
      <c r="B186" s="23">
        <v>19</v>
      </c>
      <c r="C186" s="23">
        <v>185</v>
      </c>
      <c r="D186" s="297" t="s">
        <v>221</v>
      </c>
      <c r="E186" s="297" t="s">
        <v>221</v>
      </c>
      <c r="F186" s="297" t="s">
        <v>221</v>
      </c>
      <c r="G186" s="297" t="s">
        <v>223</v>
      </c>
      <c r="H186" s="297" t="s">
        <v>223</v>
      </c>
      <c r="I186" s="16" t="s">
        <v>20</v>
      </c>
      <c r="J186" s="17">
        <v>300</v>
      </c>
      <c r="K186" s="18">
        <f>J186*U186</f>
        <v>900</v>
      </c>
      <c r="L186" s="19"/>
      <c r="M186" s="19"/>
      <c r="N186" s="19"/>
      <c r="O186" s="19"/>
      <c r="P186" s="19"/>
      <c r="Q186" s="19"/>
      <c r="R186" s="19"/>
      <c r="S186" s="19"/>
      <c r="T186" s="19"/>
      <c r="U186" s="16">
        <v>3</v>
      </c>
      <c r="V186" s="19"/>
      <c r="W186" s="19"/>
      <c r="X186" s="19"/>
      <c r="Y186" s="19"/>
      <c r="Z186" s="19"/>
      <c r="AA186" s="19"/>
      <c r="AB186" s="19"/>
      <c r="AC186" s="19"/>
      <c r="AD186" s="19"/>
      <c r="AE186" s="19"/>
      <c r="AF186" s="19"/>
      <c r="AG186" s="19"/>
      <c r="AH186" s="19"/>
      <c r="AI186" s="19"/>
      <c r="AJ186" s="19"/>
      <c r="AK186" s="19"/>
      <c r="AL186" s="19"/>
      <c r="AM186" s="19"/>
      <c r="AN186" s="19"/>
      <c r="AO186" s="19"/>
      <c r="AP186" s="19">
        <f t="shared" si="6"/>
        <v>3</v>
      </c>
      <c r="AQ186" s="21">
        <f t="shared" si="7"/>
        <v>900</v>
      </c>
      <c r="AR186" s="19">
        <f t="shared" si="8"/>
        <v>750</v>
      </c>
      <c r="AS186" s="19">
        <v>750</v>
      </c>
    </row>
    <row r="187" spans="1:46" s="199" customFormat="1" ht="57" customHeight="1" x14ac:dyDescent="0.25">
      <c r="A187" s="202" t="s">
        <v>592</v>
      </c>
      <c r="B187" s="364"/>
      <c r="C187" s="371">
        <v>186</v>
      </c>
      <c r="D187" s="365" t="s">
        <v>633</v>
      </c>
      <c r="E187" s="365" t="s">
        <v>821</v>
      </c>
      <c r="F187" s="365" t="s">
        <v>633</v>
      </c>
      <c r="G187" s="365" t="s">
        <v>633</v>
      </c>
      <c r="H187" s="365" t="s">
        <v>821</v>
      </c>
      <c r="I187" s="366" t="s">
        <v>20</v>
      </c>
      <c r="J187" s="196">
        <v>900</v>
      </c>
      <c r="K187" s="193">
        <f>J187*AD187</f>
        <v>900</v>
      </c>
      <c r="L187" s="216"/>
      <c r="M187" s="216"/>
      <c r="N187" s="216"/>
      <c r="O187" s="216"/>
      <c r="P187" s="216"/>
      <c r="Q187" s="216"/>
      <c r="R187" s="216"/>
      <c r="S187" s="216"/>
      <c r="T187" s="216"/>
      <c r="U187" s="216"/>
      <c r="V187" s="216"/>
      <c r="W187" s="216"/>
      <c r="X187" s="216"/>
      <c r="Y187" s="216"/>
      <c r="Z187" s="216"/>
      <c r="AA187" s="216"/>
      <c r="AB187" s="216"/>
      <c r="AC187" s="216"/>
      <c r="AD187" s="366">
        <v>1</v>
      </c>
      <c r="AE187" s="216"/>
      <c r="AF187" s="216"/>
      <c r="AG187" s="216"/>
      <c r="AH187" s="216"/>
      <c r="AI187" s="216"/>
      <c r="AJ187" s="216"/>
      <c r="AK187" s="216"/>
      <c r="AL187" s="216"/>
      <c r="AM187" s="216"/>
      <c r="AN187" s="216"/>
      <c r="AO187" s="216"/>
      <c r="AP187" s="216">
        <f t="shared" si="6"/>
        <v>1</v>
      </c>
      <c r="AQ187" s="199">
        <f t="shared" si="7"/>
        <v>900</v>
      </c>
      <c r="AR187" s="216">
        <f t="shared" si="8"/>
        <v>750</v>
      </c>
      <c r="AS187" s="216">
        <v>750</v>
      </c>
      <c r="AT187" s="199" t="s">
        <v>806</v>
      </c>
    </row>
    <row r="188" spans="1:46" ht="45" x14ac:dyDescent="0.25">
      <c r="A188" s="22" t="s">
        <v>658</v>
      </c>
      <c r="B188" s="205">
        <v>14</v>
      </c>
      <c r="C188" s="23">
        <v>187</v>
      </c>
      <c r="D188" s="302" t="s">
        <v>681</v>
      </c>
      <c r="E188" s="302" t="s">
        <v>681</v>
      </c>
      <c r="F188" s="302" t="s">
        <v>681</v>
      </c>
      <c r="G188" s="302" t="s">
        <v>682</v>
      </c>
      <c r="H188" s="302" t="s">
        <v>682</v>
      </c>
      <c r="I188" s="16" t="s">
        <v>20</v>
      </c>
      <c r="J188" s="104">
        <v>5000</v>
      </c>
      <c r="K188" s="207">
        <v>5000</v>
      </c>
      <c r="L188" s="19"/>
      <c r="M188" s="19"/>
      <c r="N188" s="19"/>
      <c r="O188" s="19"/>
      <c r="P188" s="19"/>
      <c r="Q188" s="19"/>
      <c r="R188" s="19"/>
      <c r="S188" s="19"/>
      <c r="T188" s="19"/>
      <c r="U188" s="19"/>
      <c r="V188" s="19"/>
      <c r="W188" s="19"/>
      <c r="X188" s="19"/>
      <c r="Y188" s="19"/>
      <c r="Z188" s="19"/>
      <c r="AA188" s="19"/>
      <c r="AB188" s="19"/>
      <c r="AC188" s="19"/>
      <c r="AD188" s="19"/>
      <c r="AE188" s="19"/>
      <c r="AF188" s="19"/>
      <c r="AG188" s="174">
        <v>1</v>
      </c>
      <c r="AH188" s="19"/>
      <c r="AI188" s="19"/>
      <c r="AJ188" s="19"/>
      <c r="AK188" s="19"/>
      <c r="AL188" s="19"/>
      <c r="AM188" s="19"/>
      <c r="AN188" s="19"/>
      <c r="AO188" s="19"/>
      <c r="AP188" s="19">
        <f t="shared" si="6"/>
        <v>1</v>
      </c>
      <c r="AQ188" s="21">
        <f t="shared" si="7"/>
        <v>5000</v>
      </c>
      <c r="AR188" s="19">
        <f t="shared" si="8"/>
        <v>4166.666666666667</v>
      </c>
      <c r="AS188" s="19">
        <v>4166.67</v>
      </c>
    </row>
    <row r="189" spans="1:46" ht="45" x14ac:dyDescent="0.25">
      <c r="A189" s="22" t="s">
        <v>658</v>
      </c>
      <c r="B189" s="205">
        <v>13</v>
      </c>
      <c r="C189" s="23">
        <v>188</v>
      </c>
      <c r="D189" s="302" t="s">
        <v>679</v>
      </c>
      <c r="E189" s="302" t="s">
        <v>679</v>
      </c>
      <c r="F189" s="302" t="s">
        <v>679</v>
      </c>
      <c r="G189" s="302" t="s">
        <v>680</v>
      </c>
      <c r="H189" s="302" t="s">
        <v>680</v>
      </c>
      <c r="I189" s="16" t="s">
        <v>20</v>
      </c>
      <c r="J189" s="288">
        <v>6000</v>
      </c>
      <c r="K189" s="207">
        <v>6000</v>
      </c>
      <c r="L189" s="19"/>
      <c r="M189" s="19"/>
      <c r="N189" s="19"/>
      <c r="O189" s="19"/>
      <c r="P189" s="19"/>
      <c r="Q189" s="19"/>
      <c r="R189" s="19"/>
      <c r="S189" s="19"/>
      <c r="T189" s="19"/>
      <c r="U189" s="19"/>
      <c r="V189" s="19"/>
      <c r="W189" s="19"/>
      <c r="X189" s="19"/>
      <c r="Y189" s="19"/>
      <c r="Z189" s="19"/>
      <c r="AA189" s="19"/>
      <c r="AB189" s="19"/>
      <c r="AC189" s="19"/>
      <c r="AD189" s="19"/>
      <c r="AE189" s="19"/>
      <c r="AF189" s="19"/>
      <c r="AG189" s="174">
        <v>1</v>
      </c>
      <c r="AH189" s="19"/>
      <c r="AI189" s="19"/>
      <c r="AJ189" s="19"/>
      <c r="AK189" s="19"/>
      <c r="AL189" s="19"/>
      <c r="AM189" s="19"/>
      <c r="AN189" s="19"/>
      <c r="AO189" s="19"/>
      <c r="AP189" s="19">
        <f t="shared" si="6"/>
        <v>1</v>
      </c>
      <c r="AQ189" s="21">
        <f t="shared" si="7"/>
        <v>6000</v>
      </c>
      <c r="AR189" s="19">
        <f t="shared" si="8"/>
        <v>5000</v>
      </c>
      <c r="AS189" s="19">
        <v>5000</v>
      </c>
    </row>
    <row r="190" spans="1:46" ht="45" x14ac:dyDescent="0.25">
      <c r="A190" s="22" t="s">
        <v>658</v>
      </c>
      <c r="B190" s="205">
        <v>11</v>
      </c>
      <c r="C190" s="23">
        <v>189</v>
      </c>
      <c r="D190" s="302" t="s">
        <v>676</v>
      </c>
      <c r="E190" s="302" t="s">
        <v>676</v>
      </c>
      <c r="F190" s="302" t="s">
        <v>676</v>
      </c>
      <c r="G190" s="302" t="s">
        <v>677</v>
      </c>
      <c r="H190" s="302" t="s">
        <v>677</v>
      </c>
      <c r="I190" s="16" t="s">
        <v>20</v>
      </c>
      <c r="J190" s="104">
        <v>3500</v>
      </c>
      <c r="K190" s="207">
        <v>3500</v>
      </c>
      <c r="L190" s="19"/>
      <c r="M190" s="19"/>
      <c r="N190" s="19"/>
      <c r="O190" s="19"/>
      <c r="P190" s="19"/>
      <c r="Q190" s="19"/>
      <c r="R190" s="19"/>
      <c r="S190" s="19"/>
      <c r="T190" s="19"/>
      <c r="U190" s="19"/>
      <c r="V190" s="19"/>
      <c r="W190" s="19"/>
      <c r="X190" s="19"/>
      <c r="Y190" s="19"/>
      <c r="Z190" s="19"/>
      <c r="AA190" s="19"/>
      <c r="AB190" s="19"/>
      <c r="AC190" s="19"/>
      <c r="AD190" s="19"/>
      <c r="AE190" s="19"/>
      <c r="AF190" s="19"/>
      <c r="AG190" s="174">
        <v>1</v>
      </c>
      <c r="AH190" s="19"/>
      <c r="AI190" s="19"/>
      <c r="AJ190" s="19"/>
      <c r="AK190" s="19"/>
      <c r="AL190" s="19"/>
      <c r="AM190" s="19"/>
      <c r="AN190" s="19"/>
      <c r="AO190" s="19"/>
      <c r="AP190" s="19">
        <f t="shared" si="6"/>
        <v>1</v>
      </c>
      <c r="AQ190" s="21">
        <f t="shared" si="7"/>
        <v>3500</v>
      </c>
      <c r="AR190" s="19">
        <f t="shared" si="8"/>
        <v>2916.666666666667</v>
      </c>
      <c r="AS190" s="19">
        <v>2916.67</v>
      </c>
    </row>
    <row r="191" spans="1:46" ht="45" x14ac:dyDescent="0.25">
      <c r="A191" s="22" t="s">
        <v>658</v>
      </c>
      <c r="B191" s="205">
        <v>15</v>
      </c>
      <c r="C191" s="23">
        <v>190</v>
      </c>
      <c r="D191" s="302" t="s">
        <v>683</v>
      </c>
      <c r="E191" s="302" t="s">
        <v>683</v>
      </c>
      <c r="F191" s="302" t="s">
        <v>683</v>
      </c>
      <c r="G191" s="302" t="s">
        <v>684</v>
      </c>
      <c r="H191" s="302" t="s">
        <v>684</v>
      </c>
      <c r="I191" s="16" t="s">
        <v>20</v>
      </c>
      <c r="J191" s="288">
        <v>3500</v>
      </c>
      <c r="K191" s="207">
        <v>3500</v>
      </c>
      <c r="L191" s="19"/>
      <c r="M191" s="19"/>
      <c r="N191" s="19"/>
      <c r="O191" s="19"/>
      <c r="P191" s="19"/>
      <c r="Q191" s="19"/>
      <c r="R191" s="19"/>
      <c r="S191" s="19"/>
      <c r="T191" s="19"/>
      <c r="U191" s="19"/>
      <c r="V191" s="19"/>
      <c r="W191" s="19"/>
      <c r="X191" s="19"/>
      <c r="Y191" s="19"/>
      <c r="Z191" s="19"/>
      <c r="AA191" s="19"/>
      <c r="AB191" s="19"/>
      <c r="AC191" s="19"/>
      <c r="AD191" s="19"/>
      <c r="AE191" s="19"/>
      <c r="AF191" s="19"/>
      <c r="AG191" s="174">
        <v>1</v>
      </c>
      <c r="AH191" s="19"/>
      <c r="AI191" s="19"/>
      <c r="AJ191" s="19"/>
      <c r="AK191" s="19"/>
      <c r="AL191" s="19"/>
      <c r="AM191" s="19"/>
      <c r="AN191" s="19"/>
      <c r="AO191" s="19"/>
      <c r="AP191" s="19">
        <f t="shared" si="6"/>
        <v>1</v>
      </c>
      <c r="AQ191" s="21">
        <f t="shared" si="7"/>
        <v>3500</v>
      </c>
      <c r="AR191" s="19">
        <f t="shared" si="8"/>
        <v>2916.666666666667</v>
      </c>
      <c r="AS191" s="19">
        <v>2916.67</v>
      </c>
    </row>
    <row r="192" spans="1:46" ht="45" x14ac:dyDescent="0.25">
      <c r="A192" s="22" t="s">
        <v>658</v>
      </c>
      <c r="B192" s="205">
        <v>12</v>
      </c>
      <c r="C192" s="23">
        <v>191</v>
      </c>
      <c r="D192" s="302" t="s">
        <v>678</v>
      </c>
      <c r="E192" s="302" t="s">
        <v>678</v>
      </c>
      <c r="F192" s="302" t="s">
        <v>678</v>
      </c>
      <c r="G192" s="302" t="s">
        <v>677</v>
      </c>
      <c r="H192" s="302" t="s">
        <v>677</v>
      </c>
      <c r="I192" s="16" t="s">
        <v>20</v>
      </c>
      <c r="J192" s="104">
        <v>3500</v>
      </c>
      <c r="K192" s="207">
        <v>3500</v>
      </c>
      <c r="L192" s="19"/>
      <c r="M192" s="19"/>
      <c r="N192" s="19"/>
      <c r="O192" s="19"/>
      <c r="P192" s="19"/>
      <c r="Q192" s="19"/>
      <c r="R192" s="19"/>
      <c r="S192" s="19"/>
      <c r="T192" s="19"/>
      <c r="U192" s="19"/>
      <c r="V192" s="19"/>
      <c r="W192" s="19"/>
      <c r="X192" s="19"/>
      <c r="Y192" s="19"/>
      <c r="Z192" s="19"/>
      <c r="AA192" s="19"/>
      <c r="AB192" s="19"/>
      <c r="AC192" s="19"/>
      <c r="AD192" s="19"/>
      <c r="AE192" s="19"/>
      <c r="AF192" s="19"/>
      <c r="AG192" s="174">
        <v>1</v>
      </c>
      <c r="AH192" s="19"/>
      <c r="AI192" s="19"/>
      <c r="AJ192" s="19"/>
      <c r="AK192" s="19"/>
      <c r="AL192" s="19"/>
      <c r="AM192" s="19"/>
      <c r="AN192" s="19"/>
      <c r="AO192" s="19"/>
      <c r="AP192" s="19">
        <f t="shared" si="6"/>
        <v>1</v>
      </c>
      <c r="AQ192" s="21">
        <f t="shared" si="7"/>
        <v>3500</v>
      </c>
      <c r="AR192" s="19">
        <f t="shared" si="8"/>
        <v>2916.666666666667</v>
      </c>
      <c r="AS192" s="19">
        <v>2916.67</v>
      </c>
    </row>
    <row r="193" spans="1:45" ht="45" x14ac:dyDescent="0.25">
      <c r="A193" s="22" t="s">
        <v>308</v>
      </c>
      <c r="B193" s="43">
        <v>14</v>
      </c>
      <c r="C193" s="23">
        <v>192</v>
      </c>
      <c r="D193" s="282" t="s">
        <v>336</v>
      </c>
      <c r="E193" s="282" t="s">
        <v>336</v>
      </c>
      <c r="F193" s="282" t="s">
        <v>336</v>
      </c>
      <c r="G193" s="275" t="s">
        <v>337</v>
      </c>
      <c r="H193" s="275" t="s">
        <v>337</v>
      </c>
      <c r="I193" s="16" t="s">
        <v>20</v>
      </c>
      <c r="J193" s="276">
        <v>2166</v>
      </c>
      <c r="K193" s="304">
        <v>4332</v>
      </c>
      <c r="L193" s="19"/>
      <c r="M193" s="19"/>
      <c r="N193" s="19"/>
      <c r="O193" s="19"/>
      <c r="P193" s="19"/>
      <c r="Q193" s="19"/>
      <c r="R193" s="19"/>
      <c r="S193" s="19"/>
      <c r="T193" s="19"/>
      <c r="U193" s="19"/>
      <c r="V193" s="19"/>
      <c r="W193" s="276">
        <v>2</v>
      </c>
      <c r="X193" s="19"/>
      <c r="Y193" s="19"/>
      <c r="Z193" s="19"/>
      <c r="AA193" s="19"/>
      <c r="AB193" s="19"/>
      <c r="AC193" s="19"/>
      <c r="AD193" s="19"/>
      <c r="AE193" s="19"/>
      <c r="AF193" s="19"/>
      <c r="AG193" s="19"/>
      <c r="AH193" s="19"/>
      <c r="AI193" s="19"/>
      <c r="AJ193" s="19"/>
      <c r="AK193" s="19"/>
      <c r="AL193" s="19"/>
      <c r="AM193" s="19"/>
      <c r="AN193" s="19"/>
      <c r="AO193" s="19"/>
      <c r="AP193" s="19">
        <f t="shared" si="6"/>
        <v>2</v>
      </c>
      <c r="AQ193" s="21">
        <f t="shared" si="7"/>
        <v>4332</v>
      </c>
      <c r="AR193" s="19">
        <f t="shared" si="8"/>
        <v>3610</v>
      </c>
      <c r="AS193" s="19">
        <v>3610</v>
      </c>
    </row>
    <row r="194" spans="1:45" ht="30" x14ac:dyDescent="0.25">
      <c r="A194" s="22" t="s">
        <v>179</v>
      </c>
      <c r="B194" s="23">
        <v>41</v>
      </c>
      <c r="C194" s="23">
        <v>193</v>
      </c>
      <c r="D194" s="12" t="s">
        <v>253</v>
      </c>
      <c r="E194" s="12" t="s">
        <v>253</v>
      </c>
      <c r="F194" s="12" t="s">
        <v>253</v>
      </c>
      <c r="G194" s="12" t="s">
        <v>253</v>
      </c>
      <c r="H194" s="12" t="s">
        <v>253</v>
      </c>
      <c r="I194" s="16" t="s">
        <v>20</v>
      </c>
      <c r="J194" s="17">
        <v>8500</v>
      </c>
      <c r="K194" s="18">
        <f>J194*U194</f>
        <v>17000</v>
      </c>
      <c r="L194" s="19"/>
      <c r="M194" s="19"/>
      <c r="N194" s="19"/>
      <c r="O194" s="19"/>
      <c r="P194" s="19"/>
      <c r="Q194" s="19"/>
      <c r="R194" s="19"/>
      <c r="S194" s="19"/>
      <c r="T194" s="19"/>
      <c r="U194" s="16">
        <v>2</v>
      </c>
      <c r="V194" s="19"/>
      <c r="W194" s="19"/>
      <c r="X194" s="19"/>
      <c r="Y194" s="19"/>
      <c r="Z194" s="19"/>
      <c r="AA194" s="19"/>
      <c r="AB194" s="19"/>
      <c r="AC194" s="19"/>
      <c r="AD194" s="19"/>
      <c r="AE194" s="19"/>
      <c r="AF194" s="19"/>
      <c r="AG194" s="19"/>
      <c r="AH194" s="19"/>
      <c r="AI194" s="19"/>
      <c r="AJ194" s="19"/>
      <c r="AK194" s="19"/>
      <c r="AL194" s="19"/>
      <c r="AM194" s="19"/>
      <c r="AN194" s="19"/>
      <c r="AO194" s="19"/>
      <c r="AP194" s="19">
        <f t="shared" ref="AP194:AP236" si="9">SUM(L194:AO194)</f>
        <v>2</v>
      </c>
      <c r="AQ194" s="21">
        <f t="shared" si="7"/>
        <v>17000</v>
      </c>
      <c r="AR194" s="19">
        <f t="shared" si="8"/>
        <v>14166.666666666668</v>
      </c>
      <c r="AS194" s="19">
        <v>14166.67</v>
      </c>
    </row>
    <row r="195" spans="1:45" ht="105" x14ac:dyDescent="0.25">
      <c r="A195" s="22" t="s">
        <v>179</v>
      </c>
      <c r="B195" s="23">
        <v>11</v>
      </c>
      <c r="C195" s="23">
        <v>194</v>
      </c>
      <c r="D195" s="300" t="s">
        <v>201</v>
      </c>
      <c r="E195" s="300" t="s">
        <v>201</v>
      </c>
      <c r="F195" s="300" t="s">
        <v>201</v>
      </c>
      <c r="G195" s="12" t="s">
        <v>203</v>
      </c>
      <c r="H195" s="12" t="s">
        <v>203</v>
      </c>
      <c r="I195" s="16" t="s">
        <v>20</v>
      </c>
      <c r="J195" s="17">
        <v>2000</v>
      </c>
      <c r="K195" s="18">
        <f>J195*U195</f>
        <v>4000</v>
      </c>
      <c r="L195" s="19"/>
      <c r="M195" s="19"/>
      <c r="N195" s="19"/>
      <c r="O195" s="19"/>
      <c r="P195" s="19"/>
      <c r="Q195" s="19"/>
      <c r="R195" s="19"/>
      <c r="S195" s="19"/>
      <c r="T195" s="19"/>
      <c r="U195" s="16">
        <v>2</v>
      </c>
      <c r="V195" s="19"/>
      <c r="W195" s="19"/>
      <c r="X195" s="19"/>
      <c r="Y195" s="19"/>
      <c r="Z195" s="19"/>
      <c r="AA195" s="19"/>
      <c r="AB195" s="19"/>
      <c r="AC195" s="19"/>
      <c r="AD195" s="19"/>
      <c r="AE195" s="19"/>
      <c r="AF195" s="19"/>
      <c r="AG195" s="19"/>
      <c r="AH195" s="19"/>
      <c r="AI195" s="19"/>
      <c r="AJ195" s="19"/>
      <c r="AK195" s="19"/>
      <c r="AL195" s="19"/>
      <c r="AM195" s="19"/>
      <c r="AN195" s="19"/>
      <c r="AO195" s="19"/>
      <c r="AP195" s="19">
        <f t="shared" si="9"/>
        <v>2</v>
      </c>
      <c r="AQ195" s="21">
        <f t="shared" ref="AQ195:AQ258" si="10">AP195*J195</f>
        <v>4000</v>
      </c>
      <c r="AR195" s="19">
        <f t="shared" ref="AR195:AR258" si="11">AQ195/1.2</f>
        <v>3333.3333333333335</v>
      </c>
      <c r="AS195" s="19">
        <v>3333.34</v>
      </c>
    </row>
    <row r="196" spans="1:45" ht="45" x14ac:dyDescent="0.25">
      <c r="A196" s="22" t="s">
        <v>76</v>
      </c>
      <c r="B196" s="23">
        <v>24</v>
      </c>
      <c r="C196" s="23">
        <v>195</v>
      </c>
      <c r="D196" s="297" t="s">
        <v>131</v>
      </c>
      <c r="E196" s="297" t="s">
        <v>131</v>
      </c>
      <c r="F196" s="297" t="s">
        <v>131</v>
      </c>
      <c r="G196" s="297" t="s">
        <v>132</v>
      </c>
      <c r="H196" s="297" t="s">
        <v>132</v>
      </c>
      <c r="I196" s="16" t="s">
        <v>20</v>
      </c>
      <c r="J196" s="17">
        <v>20</v>
      </c>
      <c r="K196" s="18">
        <v>5000</v>
      </c>
      <c r="L196" s="19"/>
      <c r="M196" s="19"/>
      <c r="N196" s="19"/>
      <c r="O196" s="19"/>
      <c r="P196" s="19"/>
      <c r="Q196" s="19"/>
      <c r="R196" s="16">
        <v>250</v>
      </c>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f t="shared" si="9"/>
        <v>250</v>
      </c>
      <c r="AQ196" s="21">
        <f t="shared" si="10"/>
        <v>5000</v>
      </c>
      <c r="AR196" s="19">
        <f t="shared" si="11"/>
        <v>4166.666666666667</v>
      </c>
      <c r="AS196" s="19">
        <v>4166.67</v>
      </c>
    </row>
    <row r="197" spans="1:45" ht="45" x14ac:dyDescent="0.25">
      <c r="A197" s="22" t="s">
        <v>76</v>
      </c>
      <c r="B197" s="23">
        <v>25</v>
      </c>
      <c r="C197" s="23">
        <v>196</v>
      </c>
      <c r="D197" s="297" t="s">
        <v>131</v>
      </c>
      <c r="E197" s="297" t="s">
        <v>131</v>
      </c>
      <c r="F197" s="297" t="s">
        <v>131</v>
      </c>
      <c r="G197" s="297" t="s">
        <v>133</v>
      </c>
      <c r="H197" s="297" t="s">
        <v>133</v>
      </c>
      <c r="I197" s="16" t="s">
        <v>20</v>
      </c>
      <c r="J197" s="17">
        <v>20</v>
      </c>
      <c r="K197" s="18">
        <v>2000</v>
      </c>
      <c r="L197" s="19"/>
      <c r="M197" s="19"/>
      <c r="N197" s="19"/>
      <c r="O197" s="19"/>
      <c r="P197" s="19"/>
      <c r="Q197" s="19"/>
      <c r="R197" s="16">
        <v>100</v>
      </c>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f t="shared" si="9"/>
        <v>100</v>
      </c>
      <c r="AQ197" s="21">
        <f t="shared" si="10"/>
        <v>2000</v>
      </c>
      <c r="AR197" s="19">
        <f t="shared" si="11"/>
        <v>1666.6666666666667</v>
      </c>
      <c r="AS197" s="19">
        <v>1666.67</v>
      </c>
    </row>
    <row r="198" spans="1:45" ht="45" x14ac:dyDescent="0.25">
      <c r="A198" s="22" t="s">
        <v>150</v>
      </c>
      <c r="B198" s="23"/>
      <c r="C198" s="23">
        <v>197</v>
      </c>
      <c r="D198" s="297" t="s">
        <v>158</v>
      </c>
      <c r="E198" s="297" t="s">
        <v>158</v>
      </c>
      <c r="F198" s="297" t="s">
        <v>158</v>
      </c>
      <c r="G198" s="12" t="s">
        <v>782</v>
      </c>
      <c r="H198" s="12" t="s">
        <v>782</v>
      </c>
      <c r="I198" s="16" t="s">
        <v>20</v>
      </c>
      <c r="J198" s="18">
        <v>80</v>
      </c>
      <c r="K198" s="18">
        <v>40000</v>
      </c>
      <c r="L198" s="19"/>
      <c r="M198" s="19"/>
      <c r="N198" s="19"/>
      <c r="O198" s="19"/>
      <c r="P198" s="19"/>
      <c r="Q198" s="19"/>
      <c r="R198" s="19"/>
      <c r="S198" s="16">
        <v>500</v>
      </c>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f t="shared" si="9"/>
        <v>500</v>
      </c>
      <c r="AQ198" s="21">
        <f t="shared" si="10"/>
        <v>40000</v>
      </c>
      <c r="AR198" s="19">
        <f t="shared" si="11"/>
        <v>33333.333333333336</v>
      </c>
      <c r="AS198" s="19">
        <v>33333.340000000004</v>
      </c>
    </row>
    <row r="199" spans="1:45" ht="30" x14ac:dyDescent="0.25">
      <c r="A199" s="22" t="s">
        <v>592</v>
      </c>
      <c r="B199" s="172"/>
      <c r="C199" s="23">
        <v>198</v>
      </c>
      <c r="D199" s="297" t="s">
        <v>635</v>
      </c>
      <c r="E199" s="297" t="s">
        <v>635</v>
      </c>
      <c r="F199" s="297" t="s">
        <v>635</v>
      </c>
      <c r="G199" s="297" t="s">
        <v>635</v>
      </c>
      <c r="H199" s="297" t="s">
        <v>635</v>
      </c>
      <c r="I199" s="16" t="s">
        <v>20</v>
      </c>
      <c r="J199" s="17">
        <v>3.16</v>
      </c>
      <c r="K199" s="18">
        <f>J199*AD199</f>
        <v>316</v>
      </c>
      <c r="L199" s="19"/>
      <c r="M199" s="19"/>
      <c r="N199" s="19"/>
      <c r="O199" s="19"/>
      <c r="P199" s="19"/>
      <c r="Q199" s="19"/>
      <c r="R199" s="19"/>
      <c r="S199" s="19"/>
      <c r="T199" s="19"/>
      <c r="U199" s="19"/>
      <c r="V199" s="19"/>
      <c r="W199" s="19"/>
      <c r="X199" s="19"/>
      <c r="Y199" s="19"/>
      <c r="Z199" s="19"/>
      <c r="AA199" s="19"/>
      <c r="AB199" s="19"/>
      <c r="AC199" s="19"/>
      <c r="AD199" s="295">
        <v>100</v>
      </c>
      <c r="AE199" s="19"/>
      <c r="AF199" s="19"/>
      <c r="AG199" s="19"/>
      <c r="AH199" s="19"/>
      <c r="AI199" s="19"/>
      <c r="AJ199" s="19"/>
      <c r="AK199" s="19"/>
      <c r="AL199" s="19"/>
      <c r="AM199" s="19"/>
      <c r="AN199" s="19"/>
      <c r="AO199" s="19"/>
      <c r="AP199" s="19">
        <f t="shared" si="9"/>
        <v>100</v>
      </c>
      <c r="AQ199" s="21">
        <f t="shared" si="10"/>
        <v>316</v>
      </c>
      <c r="AR199" s="19">
        <f t="shared" si="11"/>
        <v>263.33333333333337</v>
      </c>
      <c r="AS199" s="19">
        <v>263.33999999999997</v>
      </c>
    </row>
    <row r="200" spans="1:45" ht="30" x14ac:dyDescent="0.25">
      <c r="A200" s="22" t="s">
        <v>592</v>
      </c>
      <c r="B200" s="172"/>
      <c r="C200" s="23">
        <v>199</v>
      </c>
      <c r="D200" s="300" t="s">
        <v>642</v>
      </c>
      <c r="E200" s="300" t="s">
        <v>642</v>
      </c>
      <c r="F200" s="300" t="s">
        <v>642</v>
      </c>
      <c r="G200" s="297" t="s">
        <v>754</v>
      </c>
      <c r="H200" s="297" t="s">
        <v>754</v>
      </c>
      <c r="I200" s="16" t="s">
        <v>661</v>
      </c>
      <c r="J200" s="17">
        <v>681</v>
      </c>
      <c r="K200" s="18">
        <f>J200*AD200</f>
        <v>681</v>
      </c>
      <c r="L200" s="19"/>
      <c r="M200" s="19"/>
      <c r="N200" s="19"/>
      <c r="O200" s="19"/>
      <c r="P200" s="19"/>
      <c r="Q200" s="19"/>
      <c r="R200" s="19"/>
      <c r="S200" s="19"/>
      <c r="T200" s="19"/>
      <c r="U200" s="19"/>
      <c r="V200" s="19"/>
      <c r="W200" s="19"/>
      <c r="X200" s="19"/>
      <c r="Y200" s="19"/>
      <c r="Z200" s="19"/>
      <c r="AA200" s="19"/>
      <c r="AB200" s="19"/>
      <c r="AC200" s="19"/>
      <c r="AD200" s="295">
        <v>1</v>
      </c>
      <c r="AE200" s="19"/>
      <c r="AF200" s="19"/>
      <c r="AG200" s="19"/>
      <c r="AH200" s="19"/>
      <c r="AI200" s="19"/>
      <c r="AJ200" s="19"/>
      <c r="AK200" s="19"/>
      <c r="AL200" s="19"/>
      <c r="AM200" s="19"/>
      <c r="AN200" s="19"/>
      <c r="AO200" s="19"/>
      <c r="AP200" s="19">
        <f t="shared" si="9"/>
        <v>1</v>
      </c>
      <c r="AQ200" s="21">
        <f t="shared" si="10"/>
        <v>681</v>
      </c>
      <c r="AR200" s="19">
        <f t="shared" si="11"/>
        <v>567.5</v>
      </c>
      <c r="AS200" s="19">
        <v>567.5</v>
      </c>
    </row>
    <row r="201" spans="1:45" ht="120" x14ac:dyDescent="0.25">
      <c r="A201" s="22"/>
      <c r="B201" s="205">
        <v>1</v>
      </c>
      <c r="C201" s="23">
        <v>200</v>
      </c>
      <c r="D201" s="302" t="s">
        <v>573</v>
      </c>
      <c r="E201" s="302" t="s">
        <v>573</v>
      </c>
      <c r="F201" s="302" t="s">
        <v>573</v>
      </c>
      <c r="G201" s="302" t="s">
        <v>574</v>
      </c>
      <c r="H201" s="302" t="s">
        <v>574</v>
      </c>
      <c r="I201" s="16" t="s">
        <v>20</v>
      </c>
      <c r="J201" s="288">
        <v>244</v>
      </c>
      <c r="K201" s="289">
        <v>73200</v>
      </c>
      <c r="L201" s="19"/>
      <c r="M201" s="19"/>
      <c r="N201" s="19"/>
      <c r="O201" s="19"/>
      <c r="P201" s="19"/>
      <c r="Q201" s="19"/>
      <c r="R201" s="19"/>
      <c r="S201" s="19"/>
      <c r="T201" s="19"/>
      <c r="U201" s="19"/>
      <c r="V201" s="19"/>
      <c r="W201" s="19"/>
      <c r="X201" s="19"/>
      <c r="Y201" s="19"/>
      <c r="Z201" s="19"/>
      <c r="AA201" s="19"/>
      <c r="AB201" s="174">
        <v>300</v>
      </c>
      <c r="AC201" s="19"/>
      <c r="AD201" s="19"/>
      <c r="AE201" s="19"/>
      <c r="AF201" s="19"/>
      <c r="AG201" s="19"/>
      <c r="AH201" s="19"/>
      <c r="AI201" s="19"/>
      <c r="AJ201" s="19"/>
      <c r="AK201" s="19"/>
      <c r="AL201" s="19"/>
      <c r="AM201" s="19"/>
      <c r="AN201" s="19"/>
      <c r="AO201" s="19"/>
      <c r="AP201" s="19">
        <f t="shared" si="9"/>
        <v>300</v>
      </c>
      <c r="AQ201" s="21">
        <f t="shared" si="10"/>
        <v>73200</v>
      </c>
      <c r="AR201" s="19">
        <f t="shared" si="11"/>
        <v>61000</v>
      </c>
      <c r="AS201" s="19">
        <v>61000</v>
      </c>
    </row>
    <row r="202" spans="1:45" ht="120" x14ac:dyDescent="0.25">
      <c r="A202" s="22" t="s">
        <v>572</v>
      </c>
      <c r="B202" s="205">
        <v>2</v>
      </c>
      <c r="C202" s="23">
        <v>201</v>
      </c>
      <c r="D202" s="302" t="s">
        <v>575</v>
      </c>
      <c r="E202" s="302" t="s">
        <v>575</v>
      </c>
      <c r="F202" s="302" t="s">
        <v>575</v>
      </c>
      <c r="G202" s="302" t="s">
        <v>577</v>
      </c>
      <c r="H202" s="302" t="s">
        <v>577</v>
      </c>
      <c r="I202" s="16" t="s">
        <v>20</v>
      </c>
      <c r="J202" s="104">
        <v>755</v>
      </c>
      <c r="K202" s="289">
        <v>453000</v>
      </c>
      <c r="L202" s="19"/>
      <c r="M202" s="19"/>
      <c r="N202" s="19"/>
      <c r="O202" s="19"/>
      <c r="P202" s="19"/>
      <c r="Q202" s="19"/>
      <c r="R202" s="19"/>
      <c r="S202" s="19"/>
      <c r="T202" s="19"/>
      <c r="U202" s="19"/>
      <c r="V202" s="19"/>
      <c r="W202" s="19"/>
      <c r="X202" s="19"/>
      <c r="Y202" s="19"/>
      <c r="Z202" s="19"/>
      <c r="AA202" s="19"/>
      <c r="AB202" s="174">
        <v>600</v>
      </c>
      <c r="AC202" s="19"/>
      <c r="AD202" s="19"/>
      <c r="AE202" s="19"/>
      <c r="AF202" s="19"/>
      <c r="AG202" s="19"/>
      <c r="AH202" s="19"/>
      <c r="AI202" s="19"/>
      <c r="AJ202" s="19"/>
      <c r="AK202" s="19"/>
      <c r="AL202" s="19"/>
      <c r="AM202" s="19"/>
      <c r="AN202" s="19"/>
      <c r="AO202" s="19"/>
      <c r="AP202" s="19">
        <f t="shared" si="9"/>
        <v>600</v>
      </c>
      <c r="AQ202" s="21">
        <f t="shared" si="10"/>
        <v>453000</v>
      </c>
      <c r="AR202" s="19">
        <f t="shared" si="11"/>
        <v>377500</v>
      </c>
      <c r="AS202" s="19">
        <v>377500</v>
      </c>
    </row>
    <row r="203" spans="1:45" ht="409.5" x14ac:dyDescent="0.25">
      <c r="A203" s="19"/>
      <c r="B203" s="11">
        <v>1</v>
      </c>
      <c r="C203" s="23">
        <v>202</v>
      </c>
      <c r="D203" s="12" t="s">
        <v>17</v>
      </c>
      <c r="E203" s="12" t="s">
        <v>17</v>
      </c>
      <c r="F203" s="12" t="s">
        <v>17</v>
      </c>
      <c r="G203" s="297" t="s">
        <v>19</v>
      </c>
      <c r="H203" s="297" t="s">
        <v>19</v>
      </c>
      <c r="I203" s="16" t="s">
        <v>20</v>
      </c>
      <c r="J203" s="17">
        <v>354</v>
      </c>
      <c r="K203" s="18">
        <f>J203*L203</f>
        <v>1062000</v>
      </c>
      <c r="L203" s="16">
        <v>3000</v>
      </c>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308"/>
      <c r="AN203" s="19"/>
      <c r="AO203" s="19"/>
      <c r="AP203" s="19">
        <f t="shared" si="9"/>
        <v>3000</v>
      </c>
      <c r="AQ203" s="21">
        <f t="shared" si="10"/>
        <v>1062000</v>
      </c>
      <c r="AR203" s="19">
        <f t="shared" si="11"/>
        <v>885000</v>
      </c>
      <c r="AS203" s="19">
        <v>885000</v>
      </c>
    </row>
    <row r="204" spans="1:45" ht="285" x14ac:dyDescent="0.25">
      <c r="A204" s="22" t="s">
        <v>506</v>
      </c>
      <c r="B204" s="172">
        <v>23</v>
      </c>
      <c r="C204" s="23">
        <v>203</v>
      </c>
      <c r="D204" s="301" t="s">
        <v>566</v>
      </c>
      <c r="E204" s="301" t="s">
        <v>566</v>
      </c>
      <c r="F204" s="301" t="s">
        <v>566</v>
      </c>
      <c r="G204" s="301" t="s">
        <v>567</v>
      </c>
      <c r="H204" s="301" t="s">
        <v>567</v>
      </c>
      <c r="I204" s="16" t="s">
        <v>20</v>
      </c>
      <c r="J204" s="17">
        <v>1450</v>
      </c>
      <c r="K204" s="172">
        <v>43500</v>
      </c>
      <c r="L204" s="19"/>
      <c r="M204" s="19"/>
      <c r="N204" s="19"/>
      <c r="O204" s="19"/>
      <c r="P204" s="19"/>
      <c r="Q204" s="19"/>
      <c r="R204" s="19"/>
      <c r="S204" s="19"/>
      <c r="T204" s="19"/>
      <c r="U204" s="19"/>
      <c r="V204" s="19"/>
      <c r="W204" s="19"/>
      <c r="X204" s="19"/>
      <c r="Y204" s="19"/>
      <c r="Z204" s="19"/>
      <c r="AA204" s="176">
        <v>30</v>
      </c>
      <c r="AB204" s="19"/>
      <c r="AC204" s="19"/>
      <c r="AD204" s="19"/>
      <c r="AE204" s="19"/>
      <c r="AF204" s="19"/>
      <c r="AG204" s="19"/>
      <c r="AH204" s="19"/>
      <c r="AI204" s="19"/>
      <c r="AJ204" s="19"/>
      <c r="AK204" s="19"/>
      <c r="AL204" s="19"/>
      <c r="AM204" s="19"/>
      <c r="AN204" s="19"/>
      <c r="AO204" s="19"/>
      <c r="AP204" s="19">
        <f t="shared" si="9"/>
        <v>30</v>
      </c>
      <c r="AQ204" s="21">
        <f t="shared" si="10"/>
        <v>43500</v>
      </c>
      <c r="AR204" s="19">
        <f t="shared" si="11"/>
        <v>36250</v>
      </c>
      <c r="AS204" s="19">
        <v>36250</v>
      </c>
    </row>
    <row r="205" spans="1:45" ht="285" x14ac:dyDescent="0.25">
      <c r="A205" s="22" t="s">
        <v>506</v>
      </c>
      <c r="B205" s="172">
        <v>24</v>
      </c>
      <c r="C205" s="23">
        <v>204</v>
      </c>
      <c r="D205" s="301" t="s">
        <v>568</v>
      </c>
      <c r="E205" s="301" t="s">
        <v>568</v>
      </c>
      <c r="F205" s="301" t="s">
        <v>568</v>
      </c>
      <c r="G205" s="301" t="s">
        <v>569</v>
      </c>
      <c r="H205" s="301" t="s">
        <v>569</v>
      </c>
      <c r="I205" s="16" t="s">
        <v>20</v>
      </c>
      <c r="J205" s="17">
        <v>1300</v>
      </c>
      <c r="K205" s="172">
        <v>39000</v>
      </c>
      <c r="L205" s="19"/>
      <c r="M205" s="19"/>
      <c r="N205" s="19"/>
      <c r="O205" s="19"/>
      <c r="P205" s="19"/>
      <c r="Q205" s="19"/>
      <c r="R205" s="19"/>
      <c r="S205" s="19"/>
      <c r="T205" s="19"/>
      <c r="U205" s="19"/>
      <c r="V205" s="19"/>
      <c r="W205" s="19"/>
      <c r="X205" s="19"/>
      <c r="Y205" s="19"/>
      <c r="Z205" s="19"/>
      <c r="AA205" s="176">
        <v>30</v>
      </c>
      <c r="AB205" s="19"/>
      <c r="AC205" s="19"/>
      <c r="AD205" s="19"/>
      <c r="AE205" s="19"/>
      <c r="AF205" s="19"/>
      <c r="AG205" s="19"/>
      <c r="AH205" s="19"/>
      <c r="AI205" s="19"/>
      <c r="AJ205" s="19"/>
      <c r="AK205" s="19"/>
      <c r="AL205" s="19"/>
      <c r="AM205" s="19"/>
      <c r="AN205" s="19"/>
      <c r="AO205" s="19"/>
      <c r="AP205" s="19">
        <f t="shared" si="9"/>
        <v>30</v>
      </c>
      <c r="AQ205" s="21">
        <f t="shared" si="10"/>
        <v>39000</v>
      </c>
      <c r="AR205" s="19">
        <f t="shared" si="11"/>
        <v>32500</v>
      </c>
      <c r="AS205" s="19">
        <v>32500</v>
      </c>
    </row>
    <row r="206" spans="1:45" ht="285" x14ac:dyDescent="0.25">
      <c r="A206" s="22" t="s">
        <v>506</v>
      </c>
      <c r="B206" s="172">
        <v>25</v>
      </c>
      <c r="C206" s="23">
        <v>205</v>
      </c>
      <c r="D206" s="301" t="s">
        <v>570</v>
      </c>
      <c r="E206" s="301" t="s">
        <v>570</v>
      </c>
      <c r="F206" s="301" t="s">
        <v>570</v>
      </c>
      <c r="G206" s="301" t="s">
        <v>571</v>
      </c>
      <c r="H206" s="301" t="s">
        <v>571</v>
      </c>
      <c r="I206" s="16" t="s">
        <v>20</v>
      </c>
      <c r="J206" s="17">
        <v>1200</v>
      </c>
      <c r="K206" s="172">
        <v>12000</v>
      </c>
      <c r="L206" s="19"/>
      <c r="M206" s="19"/>
      <c r="N206" s="19"/>
      <c r="O206" s="19"/>
      <c r="P206" s="19"/>
      <c r="Q206" s="19"/>
      <c r="R206" s="19"/>
      <c r="S206" s="19"/>
      <c r="T206" s="19"/>
      <c r="U206" s="19"/>
      <c r="V206" s="19"/>
      <c r="W206" s="19"/>
      <c r="X206" s="19"/>
      <c r="Y206" s="19"/>
      <c r="Z206" s="19"/>
      <c r="AA206" s="176">
        <v>10</v>
      </c>
      <c r="AB206" s="19"/>
      <c r="AC206" s="19"/>
      <c r="AD206" s="19"/>
      <c r="AE206" s="19"/>
      <c r="AF206" s="19"/>
      <c r="AG206" s="19"/>
      <c r="AH206" s="19"/>
      <c r="AI206" s="19"/>
      <c r="AJ206" s="19"/>
      <c r="AK206" s="19"/>
      <c r="AL206" s="19"/>
      <c r="AM206" s="19"/>
      <c r="AN206" s="19"/>
      <c r="AO206" s="19"/>
      <c r="AP206" s="19">
        <f t="shared" si="9"/>
        <v>10</v>
      </c>
      <c r="AQ206" s="21">
        <f t="shared" si="10"/>
        <v>12000</v>
      </c>
      <c r="AR206" s="19">
        <f t="shared" si="11"/>
        <v>10000</v>
      </c>
      <c r="AS206" s="19">
        <v>10000</v>
      </c>
    </row>
    <row r="207" spans="1:45" ht="105" x14ac:dyDescent="0.25">
      <c r="A207" s="22" t="s">
        <v>592</v>
      </c>
      <c r="B207" s="172"/>
      <c r="C207" s="23">
        <v>206</v>
      </c>
      <c r="D207" s="297" t="s">
        <v>639</v>
      </c>
      <c r="E207" s="297" t="s">
        <v>639</v>
      </c>
      <c r="F207" s="297" t="s">
        <v>639</v>
      </c>
      <c r="G207" s="297" t="s">
        <v>641</v>
      </c>
      <c r="H207" s="297" t="s">
        <v>641</v>
      </c>
      <c r="I207" s="16" t="s">
        <v>661</v>
      </c>
      <c r="J207" s="17">
        <v>550</v>
      </c>
      <c r="K207" s="18">
        <f>J207*AD207</f>
        <v>1100</v>
      </c>
      <c r="L207" s="19"/>
      <c r="M207" s="19"/>
      <c r="N207" s="19"/>
      <c r="O207" s="19"/>
      <c r="P207" s="19"/>
      <c r="Q207" s="19"/>
      <c r="R207" s="19"/>
      <c r="S207" s="19"/>
      <c r="T207" s="19"/>
      <c r="U207" s="19"/>
      <c r="V207" s="19"/>
      <c r="W207" s="19"/>
      <c r="X207" s="19"/>
      <c r="Y207" s="19"/>
      <c r="Z207" s="19"/>
      <c r="AA207" s="19"/>
      <c r="AB207" s="19"/>
      <c r="AC207" s="19"/>
      <c r="AD207" s="295">
        <v>2</v>
      </c>
      <c r="AE207" s="19"/>
      <c r="AF207" s="19"/>
      <c r="AG207" s="19"/>
      <c r="AH207" s="19"/>
      <c r="AI207" s="19"/>
      <c r="AJ207" s="19"/>
      <c r="AK207" s="19"/>
      <c r="AL207" s="19"/>
      <c r="AM207" s="19"/>
      <c r="AN207" s="19"/>
      <c r="AO207" s="19"/>
      <c r="AP207" s="19">
        <f t="shared" si="9"/>
        <v>2</v>
      </c>
      <c r="AQ207" s="21">
        <f t="shared" si="10"/>
        <v>1100</v>
      </c>
      <c r="AR207" s="19">
        <f t="shared" si="11"/>
        <v>916.66666666666674</v>
      </c>
      <c r="AS207" s="19">
        <v>916.67</v>
      </c>
    </row>
    <row r="208" spans="1:45" ht="90" x14ac:dyDescent="0.25">
      <c r="A208" s="22" t="s">
        <v>308</v>
      </c>
      <c r="B208" s="43">
        <v>7</v>
      </c>
      <c r="C208" s="23">
        <v>207</v>
      </c>
      <c r="D208" s="282" t="s">
        <v>319</v>
      </c>
      <c r="E208" s="282" t="s">
        <v>319</v>
      </c>
      <c r="F208" s="282" t="s">
        <v>319</v>
      </c>
      <c r="G208" s="282" t="s">
        <v>320</v>
      </c>
      <c r="H208" s="282" t="s">
        <v>320</v>
      </c>
      <c r="I208" s="16" t="s">
        <v>20</v>
      </c>
      <c r="J208" s="283">
        <v>312</v>
      </c>
      <c r="K208" s="283">
        <v>312</v>
      </c>
      <c r="L208" s="19"/>
      <c r="M208" s="19"/>
      <c r="N208" s="19"/>
      <c r="O208" s="19"/>
      <c r="P208" s="19"/>
      <c r="Q208" s="19"/>
      <c r="R208" s="19"/>
      <c r="S208" s="19"/>
      <c r="T208" s="19"/>
      <c r="U208" s="19"/>
      <c r="V208" s="19"/>
      <c r="W208" s="283">
        <v>1</v>
      </c>
      <c r="X208" s="19"/>
      <c r="Y208" s="19"/>
      <c r="Z208" s="19"/>
      <c r="AA208" s="19"/>
      <c r="AB208" s="19"/>
      <c r="AC208" s="19"/>
      <c r="AD208" s="19"/>
      <c r="AE208" s="19"/>
      <c r="AF208" s="19"/>
      <c r="AG208" s="19"/>
      <c r="AH208" s="19"/>
      <c r="AI208" s="19"/>
      <c r="AJ208" s="19"/>
      <c r="AK208" s="19"/>
      <c r="AL208" s="19"/>
      <c r="AM208" s="19"/>
      <c r="AN208" s="19"/>
      <c r="AO208" s="19"/>
      <c r="AP208" s="19">
        <f t="shared" si="9"/>
        <v>1</v>
      </c>
      <c r="AQ208" s="21">
        <f t="shared" si="10"/>
        <v>312</v>
      </c>
      <c r="AR208" s="19">
        <f t="shared" si="11"/>
        <v>260</v>
      </c>
      <c r="AS208" s="19">
        <v>260</v>
      </c>
    </row>
    <row r="209" spans="1:45" ht="90" x14ac:dyDescent="0.25">
      <c r="A209" s="22" t="s">
        <v>308</v>
      </c>
      <c r="B209" s="43">
        <v>8</v>
      </c>
      <c r="C209" s="23">
        <v>208</v>
      </c>
      <c r="D209" s="282" t="s">
        <v>319</v>
      </c>
      <c r="E209" s="282" t="s">
        <v>319</v>
      </c>
      <c r="F209" s="282" t="s">
        <v>319</v>
      </c>
      <c r="G209" s="282" t="s">
        <v>320</v>
      </c>
      <c r="H209" s="282" t="s">
        <v>320</v>
      </c>
      <c r="I209" s="16" t="s">
        <v>20</v>
      </c>
      <c r="J209" s="283">
        <v>300</v>
      </c>
      <c r="K209" s="283">
        <v>300</v>
      </c>
      <c r="L209" s="19"/>
      <c r="M209" s="19"/>
      <c r="N209" s="19"/>
      <c r="O209" s="19"/>
      <c r="P209" s="19"/>
      <c r="Q209" s="19"/>
      <c r="R209" s="19"/>
      <c r="S209" s="19"/>
      <c r="T209" s="19"/>
      <c r="U209" s="19"/>
      <c r="V209" s="19"/>
      <c r="W209" s="283">
        <v>1</v>
      </c>
      <c r="X209" s="19"/>
      <c r="Y209" s="19"/>
      <c r="Z209" s="19"/>
      <c r="AA209" s="19"/>
      <c r="AB209" s="19"/>
      <c r="AC209" s="19"/>
      <c r="AD209" s="19"/>
      <c r="AE209" s="19"/>
      <c r="AF209" s="19"/>
      <c r="AG209" s="19"/>
      <c r="AH209" s="19"/>
      <c r="AI209" s="19"/>
      <c r="AJ209" s="19"/>
      <c r="AK209" s="19"/>
      <c r="AL209" s="19"/>
      <c r="AM209" s="19"/>
      <c r="AN209" s="19"/>
      <c r="AO209" s="19"/>
      <c r="AP209" s="19">
        <f t="shared" si="9"/>
        <v>1</v>
      </c>
      <c r="AQ209" s="21">
        <f t="shared" si="10"/>
        <v>300</v>
      </c>
      <c r="AR209" s="19">
        <f t="shared" si="11"/>
        <v>250</v>
      </c>
      <c r="AS209" s="19">
        <v>250</v>
      </c>
    </row>
    <row r="210" spans="1:45" ht="45" x14ac:dyDescent="0.25">
      <c r="A210" s="22" t="s">
        <v>76</v>
      </c>
      <c r="B210" s="23">
        <v>16</v>
      </c>
      <c r="C210" s="23">
        <v>209</v>
      </c>
      <c r="D210" s="297" t="s">
        <v>113</v>
      </c>
      <c r="E210" s="297" t="s">
        <v>113</v>
      </c>
      <c r="F210" s="297" t="s">
        <v>113</v>
      </c>
      <c r="G210" s="297" t="s">
        <v>114</v>
      </c>
      <c r="H210" s="297" t="s">
        <v>114</v>
      </c>
      <c r="I210" s="16" t="s">
        <v>661</v>
      </c>
      <c r="J210" s="17">
        <v>6000</v>
      </c>
      <c r="K210" s="18">
        <v>30000</v>
      </c>
      <c r="L210" s="19"/>
      <c r="M210" s="19"/>
      <c r="N210" s="19"/>
      <c r="O210" s="19"/>
      <c r="P210" s="19"/>
      <c r="Q210" s="19"/>
      <c r="R210" s="16">
        <v>5</v>
      </c>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f t="shared" si="9"/>
        <v>5</v>
      </c>
      <c r="AQ210" s="21">
        <f t="shared" si="10"/>
        <v>30000</v>
      </c>
      <c r="AR210" s="19">
        <f t="shared" si="11"/>
        <v>25000</v>
      </c>
      <c r="AS210" s="19">
        <v>25000</v>
      </c>
    </row>
    <row r="211" spans="1:45" ht="60" x14ac:dyDescent="0.25">
      <c r="A211" s="22" t="s">
        <v>179</v>
      </c>
      <c r="B211" s="23">
        <v>22</v>
      </c>
      <c r="C211" s="23">
        <v>210</v>
      </c>
      <c r="D211" s="12" t="s">
        <v>228</v>
      </c>
      <c r="E211" s="12" t="s">
        <v>228</v>
      </c>
      <c r="F211" s="12" t="s">
        <v>228</v>
      </c>
      <c r="G211" s="12" t="s">
        <v>229</v>
      </c>
      <c r="H211" s="12" t="s">
        <v>229</v>
      </c>
      <c r="I211" s="16" t="s">
        <v>20</v>
      </c>
      <c r="J211" s="17">
        <v>90</v>
      </c>
      <c r="K211" s="18">
        <f>J211*U211</f>
        <v>4500</v>
      </c>
      <c r="L211" s="19"/>
      <c r="M211" s="19"/>
      <c r="N211" s="19"/>
      <c r="O211" s="19"/>
      <c r="P211" s="19"/>
      <c r="Q211" s="19"/>
      <c r="R211" s="19"/>
      <c r="S211" s="19"/>
      <c r="T211" s="19"/>
      <c r="U211" s="16">
        <v>50</v>
      </c>
      <c r="V211" s="19"/>
      <c r="W211" s="19"/>
      <c r="X211" s="19"/>
      <c r="Y211" s="19"/>
      <c r="Z211" s="19"/>
      <c r="AA211" s="19"/>
      <c r="AB211" s="19"/>
      <c r="AC211" s="19"/>
      <c r="AD211" s="19"/>
      <c r="AE211" s="19"/>
      <c r="AF211" s="19"/>
      <c r="AG211" s="19"/>
      <c r="AH211" s="19"/>
      <c r="AI211" s="19"/>
      <c r="AJ211" s="19"/>
      <c r="AK211" s="19"/>
      <c r="AL211" s="19"/>
      <c r="AM211" s="19"/>
      <c r="AN211" s="19"/>
      <c r="AO211" s="19"/>
      <c r="AP211" s="19">
        <f t="shared" si="9"/>
        <v>50</v>
      </c>
      <c r="AQ211" s="21">
        <f t="shared" si="10"/>
        <v>4500</v>
      </c>
      <c r="AR211" s="19">
        <f t="shared" si="11"/>
        <v>3750</v>
      </c>
      <c r="AS211" s="19">
        <v>3750</v>
      </c>
    </row>
    <row r="212" spans="1:45" ht="255" x14ac:dyDescent="0.25">
      <c r="A212" s="22" t="s">
        <v>452</v>
      </c>
      <c r="B212" s="23"/>
      <c r="C212" s="23">
        <v>211</v>
      </c>
      <c r="D212" s="297" t="s">
        <v>497</v>
      </c>
      <c r="E212" s="297" t="s">
        <v>497</v>
      </c>
      <c r="F212" s="297" t="s">
        <v>497</v>
      </c>
      <c r="G212" s="297" t="s">
        <v>498</v>
      </c>
      <c r="H212" s="297" t="s">
        <v>498</v>
      </c>
      <c r="I212" s="16" t="s">
        <v>661</v>
      </c>
      <c r="J212" s="18">
        <v>140000</v>
      </c>
      <c r="K212" s="18">
        <f>J212*Y212</f>
        <v>140000</v>
      </c>
      <c r="L212" s="19"/>
      <c r="M212" s="19"/>
      <c r="N212" s="19"/>
      <c r="O212" s="19"/>
      <c r="P212" s="19"/>
      <c r="Q212" s="19"/>
      <c r="R212" s="19"/>
      <c r="S212" s="19"/>
      <c r="T212" s="19"/>
      <c r="U212" s="19"/>
      <c r="V212" s="19"/>
      <c r="W212" s="19"/>
      <c r="X212" s="19"/>
      <c r="Y212" s="16">
        <v>1</v>
      </c>
      <c r="Z212" s="19"/>
      <c r="AA212" s="19"/>
      <c r="AB212" s="19"/>
      <c r="AC212" s="19"/>
      <c r="AD212" s="19"/>
      <c r="AE212" s="19"/>
      <c r="AF212" s="19"/>
      <c r="AG212" s="19"/>
      <c r="AH212" s="19"/>
      <c r="AI212" s="19"/>
      <c r="AJ212" s="19"/>
      <c r="AK212" s="19"/>
      <c r="AL212" s="19"/>
      <c r="AM212" s="19"/>
      <c r="AN212" s="19"/>
      <c r="AO212" s="19"/>
      <c r="AP212" s="19">
        <f t="shared" si="9"/>
        <v>1</v>
      </c>
      <c r="AQ212" s="21">
        <f t="shared" si="10"/>
        <v>140000</v>
      </c>
      <c r="AR212" s="19">
        <f t="shared" si="11"/>
        <v>116666.66666666667</v>
      </c>
      <c r="AS212" s="19">
        <v>116666.67</v>
      </c>
    </row>
    <row r="213" spans="1:45" ht="285" x14ac:dyDescent="0.25">
      <c r="A213" s="22" t="s">
        <v>452</v>
      </c>
      <c r="B213" s="23"/>
      <c r="C213" s="23">
        <v>212</v>
      </c>
      <c r="D213" s="297" t="s">
        <v>495</v>
      </c>
      <c r="E213" s="297" t="s">
        <v>495</v>
      </c>
      <c r="F213" s="297" t="s">
        <v>495</v>
      </c>
      <c r="G213" s="297" t="s">
        <v>496</v>
      </c>
      <c r="H213" s="297" t="s">
        <v>496</v>
      </c>
      <c r="I213" s="16" t="s">
        <v>661</v>
      </c>
      <c r="J213" s="18">
        <v>130000</v>
      </c>
      <c r="K213" s="18">
        <f>J213*Y213</f>
        <v>650000</v>
      </c>
      <c r="L213" s="19"/>
      <c r="M213" s="19"/>
      <c r="N213" s="19"/>
      <c r="O213" s="19"/>
      <c r="P213" s="19"/>
      <c r="Q213" s="19"/>
      <c r="R213" s="19"/>
      <c r="S213" s="19"/>
      <c r="T213" s="19"/>
      <c r="U213" s="19"/>
      <c r="V213" s="19"/>
      <c r="W213" s="19"/>
      <c r="X213" s="19"/>
      <c r="Y213" s="16">
        <v>5</v>
      </c>
      <c r="Z213" s="19"/>
      <c r="AA213" s="19"/>
      <c r="AB213" s="19"/>
      <c r="AC213" s="19"/>
      <c r="AD213" s="19"/>
      <c r="AE213" s="19"/>
      <c r="AF213" s="19"/>
      <c r="AG213" s="19"/>
      <c r="AH213" s="19"/>
      <c r="AI213" s="19"/>
      <c r="AJ213" s="19"/>
      <c r="AK213" s="19"/>
      <c r="AL213" s="19"/>
      <c r="AM213" s="19"/>
      <c r="AN213" s="19"/>
      <c r="AO213" s="19"/>
      <c r="AP213" s="19">
        <f t="shared" si="9"/>
        <v>5</v>
      </c>
      <c r="AQ213" s="21">
        <f t="shared" si="10"/>
        <v>650000</v>
      </c>
      <c r="AR213" s="19">
        <f t="shared" si="11"/>
        <v>541666.66666666674</v>
      </c>
      <c r="AS213" s="19">
        <v>541666.67000000004</v>
      </c>
    </row>
    <row r="214" spans="1:45" ht="75" x14ac:dyDescent="0.25">
      <c r="A214" s="22" t="s">
        <v>179</v>
      </c>
      <c r="B214" s="23">
        <v>18</v>
      </c>
      <c r="C214" s="23">
        <v>213</v>
      </c>
      <c r="D214" s="297" t="s">
        <v>216</v>
      </c>
      <c r="E214" s="297" t="s">
        <v>216</v>
      </c>
      <c r="F214" s="297" t="s">
        <v>216</v>
      </c>
      <c r="G214" s="297" t="s">
        <v>218</v>
      </c>
      <c r="H214" s="297" t="s">
        <v>218</v>
      </c>
      <c r="I214" s="16" t="s">
        <v>20</v>
      </c>
      <c r="J214" s="17">
        <v>800</v>
      </c>
      <c r="K214" s="18">
        <f>J214*U214</f>
        <v>4000</v>
      </c>
      <c r="L214" s="19"/>
      <c r="M214" s="19"/>
      <c r="N214" s="19"/>
      <c r="O214" s="19"/>
      <c r="P214" s="19"/>
      <c r="Q214" s="19"/>
      <c r="R214" s="19"/>
      <c r="S214" s="19"/>
      <c r="T214" s="19"/>
      <c r="U214" s="16">
        <v>5</v>
      </c>
      <c r="V214" s="19"/>
      <c r="W214" s="19"/>
      <c r="X214" s="19"/>
      <c r="Y214" s="19"/>
      <c r="Z214" s="19"/>
      <c r="AA214" s="19"/>
      <c r="AB214" s="19"/>
      <c r="AC214" s="19"/>
      <c r="AD214" s="19"/>
      <c r="AE214" s="19"/>
      <c r="AF214" s="19"/>
      <c r="AG214" s="19"/>
      <c r="AH214" s="19"/>
      <c r="AI214" s="19"/>
      <c r="AJ214" s="19"/>
      <c r="AK214" s="19"/>
      <c r="AL214" s="19"/>
      <c r="AM214" s="19"/>
      <c r="AN214" s="19"/>
      <c r="AO214" s="19"/>
      <c r="AP214" s="19">
        <f t="shared" si="9"/>
        <v>5</v>
      </c>
      <c r="AQ214" s="21">
        <f t="shared" si="10"/>
        <v>4000</v>
      </c>
      <c r="AR214" s="19">
        <f t="shared" si="11"/>
        <v>3333.3333333333335</v>
      </c>
      <c r="AS214" s="19">
        <v>3333.34</v>
      </c>
    </row>
    <row r="215" spans="1:45" ht="45" x14ac:dyDescent="0.25">
      <c r="A215" s="22" t="s">
        <v>452</v>
      </c>
      <c r="B215" s="172"/>
      <c r="C215" s="23">
        <v>214</v>
      </c>
      <c r="D215" s="297" t="s">
        <v>483</v>
      </c>
      <c r="E215" s="297" t="s">
        <v>483</v>
      </c>
      <c r="F215" s="297" t="s">
        <v>483</v>
      </c>
      <c r="G215" s="297" t="s">
        <v>484</v>
      </c>
      <c r="H215" s="297" t="s">
        <v>484</v>
      </c>
      <c r="I215" s="16" t="s">
        <v>20</v>
      </c>
      <c r="J215" s="18">
        <v>906</v>
      </c>
      <c r="K215" s="18">
        <f>J215*Y215</f>
        <v>1812000</v>
      </c>
      <c r="L215" s="19"/>
      <c r="M215" s="19"/>
      <c r="N215" s="19"/>
      <c r="O215" s="19"/>
      <c r="P215" s="19"/>
      <c r="Q215" s="19"/>
      <c r="R215" s="19"/>
      <c r="S215" s="19"/>
      <c r="T215" s="19"/>
      <c r="U215" s="19"/>
      <c r="V215" s="19"/>
      <c r="W215" s="19"/>
      <c r="X215" s="19"/>
      <c r="Y215" s="16">
        <v>2000</v>
      </c>
      <c r="Z215" s="19"/>
      <c r="AA215" s="19"/>
      <c r="AB215" s="19"/>
      <c r="AC215" s="19"/>
      <c r="AD215" s="19"/>
      <c r="AE215" s="19"/>
      <c r="AF215" s="19"/>
      <c r="AG215" s="19"/>
      <c r="AH215" s="19"/>
      <c r="AI215" s="19"/>
      <c r="AJ215" s="19"/>
      <c r="AK215" s="19"/>
      <c r="AL215" s="19"/>
      <c r="AM215" s="19"/>
      <c r="AN215" s="19"/>
      <c r="AO215" s="19"/>
      <c r="AP215" s="19">
        <f t="shared" si="9"/>
        <v>2000</v>
      </c>
      <c r="AQ215" s="21">
        <f t="shared" si="10"/>
        <v>1812000</v>
      </c>
      <c r="AR215" s="19">
        <f t="shared" si="11"/>
        <v>1510000</v>
      </c>
      <c r="AS215" s="19">
        <v>1510000</v>
      </c>
    </row>
    <row r="216" spans="1:45" ht="75" x14ac:dyDescent="0.25">
      <c r="A216" s="22" t="s">
        <v>150</v>
      </c>
      <c r="B216" s="23"/>
      <c r="C216" s="23">
        <v>215</v>
      </c>
      <c r="D216" s="12" t="s">
        <v>761</v>
      </c>
      <c r="E216" s="12" t="s">
        <v>761</v>
      </c>
      <c r="F216" s="12" t="s">
        <v>761</v>
      </c>
      <c r="G216" s="12" t="s">
        <v>156</v>
      </c>
      <c r="H216" s="12" t="s">
        <v>156</v>
      </c>
      <c r="I216" s="16" t="s">
        <v>661</v>
      </c>
      <c r="J216" s="17">
        <v>166.67</v>
      </c>
      <c r="K216" s="18">
        <v>100000</v>
      </c>
      <c r="L216" s="19"/>
      <c r="M216" s="19"/>
      <c r="N216" s="19"/>
      <c r="O216" s="19"/>
      <c r="P216" s="19"/>
      <c r="Q216" s="19"/>
      <c r="R216" s="19"/>
      <c r="S216" s="16">
        <v>600</v>
      </c>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f t="shared" si="9"/>
        <v>600</v>
      </c>
      <c r="AQ216" s="21">
        <f t="shared" si="10"/>
        <v>100001.99999999999</v>
      </c>
      <c r="AR216" s="19">
        <f t="shared" si="11"/>
        <v>83334.999999999985</v>
      </c>
      <c r="AS216" s="19">
        <v>83335</v>
      </c>
    </row>
    <row r="217" spans="1:45" ht="195" x14ac:dyDescent="0.25">
      <c r="A217" s="22" t="s">
        <v>360</v>
      </c>
      <c r="B217" s="119">
        <v>26</v>
      </c>
      <c r="C217" s="23">
        <v>216</v>
      </c>
      <c r="D217" s="311" t="s">
        <v>438</v>
      </c>
      <c r="E217" s="311" t="s">
        <v>438</v>
      </c>
      <c r="F217" s="311" t="s">
        <v>438</v>
      </c>
      <c r="G217" s="311" t="s">
        <v>439</v>
      </c>
      <c r="H217" s="311" t="s">
        <v>439</v>
      </c>
      <c r="I217" s="16" t="s">
        <v>661</v>
      </c>
      <c r="J217" s="334">
        <v>75</v>
      </c>
      <c r="K217" s="313">
        <v>18750</v>
      </c>
      <c r="L217" s="19"/>
      <c r="M217" s="19"/>
      <c r="N217" s="19"/>
      <c r="O217" s="19"/>
      <c r="P217" s="19"/>
      <c r="Q217" s="19"/>
      <c r="R217" s="19"/>
      <c r="S217" s="19"/>
      <c r="T217" s="19"/>
      <c r="U217" s="19"/>
      <c r="V217" s="19"/>
      <c r="W217" s="19"/>
      <c r="X217" s="312">
        <v>250</v>
      </c>
      <c r="Y217" s="19"/>
      <c r="Z217" s="19"/>
      <c r="AA217" s="19"/>
      <c r="AB217" s="19"/>
      <c r="AC217" s="19"/>
      <c r="AD217" s="19"/>
      <c r="AE217" s="19"/>
      <c r="AF217" s="19"/>
      <c r="AG217" s="19"/>
      <c r="AH217" s="19"/>
      <c r="AI217" s="19"/>
      <c r="AJ217" s="19"/>
      <c r="AK217" s="19"/>
      <c r="AL217" s="19"/>
      <c r="AM217" s="19"/>
      <c r="AN217" s="19"/>
      <c r="AO217" s="19"/>
      <c r="AP217" s="19">
        <f t="shared" si="9"/>
        <v>250</v>
      </c>
      <c r="AQ217" s="21">
        <f t="shared" si="10"/>
        <v>18750</v>
      </c>
      <c r="AR217" s="19">
        <f t="shared" si="11"/>
        <v>15625</v>
      </c>
      <c r="AS217" s="19">
        <v>15625</v>
      </c>
    </row>
    <row r="218" spans="1:45" ht="255" x14ac:dyDescent="0.25">
      <c r="A218" s="22" t="s">
        <v>452</v>
      </c>
      <c r="B218" s="23"/>
      <c r="C218" s="23">
        <v>217</v>
      </c>
      <c r="D218" s="282" t="s">
        <v>501</v>
      </c>
      <c r="E218" s="282" t="s">
        <v>501</v>
      </c>
      <c r="F218" s="282" t="s">
        <v>501</v>
      </c>
      <c r="G218" s="282" t="s">
        <v>502</v>
      </c>
      <c r="H218" s="282" t="s">
        <v>502</v>
      </c>
      <c r="I218" s="16" t="s">
        <v>661</v>
      </c>
      <c r="J218" s="18">
        <v>120000</v>
      </c>
      <c r="K218" s="18">
        <f>J218*Y218</f>
        <v>120000</v>
      </c>
      <c r="L218" s="19"/>
      <c r="M218" s="19"/>
      <c r="N218" s="19"/>
      <c r="O218" s="19"/>
      <c r="P218" s="19"/>
      <c r="Q218" s="19"/>
      <c r="R218" s="19"/>
      <c r="S218" s="19"/>
      <c r="T218" s="19"/>
      <c r="U218" s="19"/>
      <c r="V218" s="19"/>
      <c r="W218" s="19"/>
      <c r="X218" s="19"/>
      <c r="Y218" s="104">
        <v>1</v>
      </c>
      <c r="Z218" s="19"/>
      <c r="AA218" s="19"/>
      <c r="AB218" s="19"/>
      <c r="AC218" s="19"/>
      <c r="AD218" s="19"/>
      <c r="AE218" s="19"/>
      <c r="AF218" s="19"/>
      <c r="AG218" s="19"/>
      <c r="AH218" s="19"/>
      <c r="AI218" s="19"/>
      <c r="AJ218" s="19"/>
      <c r="AK218" s="19"/>
      <c r="AL218" s="19"/>
      <c r="AM218" s="19"/>
      <c r="AN218" s="19"/>
      <c r="AO218" s="19"/>
      <c r="AP218" s="19">
        <f t="shared" si="9"/>
        <v>1</v>
      </c>
      <c r="AQ218" s="21">
        <f t="shared" si="10"/>
        <v>120000</v>
      </c>
      <c r="AR218" s="19">
        <f t="shared" si="11"/>
        <v>100000</v>
      </c>
      <c r="AS218" s="19">
        <v>100000</v>
      </c>
    </row>
    <row r="219" spans="1:45" ht="180" x14ac:dyDescent="0.25">
      <c r="A219" s="22" t="s">
        <v>179</v>
      </c>
      <c r="B219" s="23">
        <v>3</v>
      </c>
      <c r="C219" s="23">
        <v>218</v>
      </c>
      <c r="D219" s="335" t="s">
        <v>184</v>
      </c>
      <c r="E219" s="335" t="s">
        <v>184</v>
      </c>
      <c r="F219" s="335" t="s">
        <v>184</v>
      </c>
      <c r="G219" s="12" t="s">
        <v>185</v>
      </c>
      <c r="H219" s="12" t="s">
        <v>185</v>
      </c>
      <c r="I219" s="16" t="s">
        <v>20</v>
      </c>
      <c r="J219" s="17">
        <v>60</v>
      </c>
      <c r="K219" s="18">
        <f>J219*U219</f>
        <v>90000</v>
      </c>
      <c r="L219" s="19"/>
      <c r="M219" s="19"/>
      <c r="N219" s="19"/>
      <c r="O219" s="19"/>
      <c r="P219" s="19"/>
      <c r="Q219" s="19"/>
      <c r="R219" s="19"/>
      <c r="S219" s="19"/>
      <c r="T219" s="19"/>
      <c r="U219" s="16">
        <v>1500</v>
      </c>
      <c r="V219" s="19"/>
      <c r="W219" s="19"/>
      <c r="X219" s="19"/>
      <c r="Y219" s="19"/>
      <c r="Z219" s="19"/>
      <c r="AA219" s="19"/>
      <c r="AB219" s="19"/>
      <c r="AC219" s="19"/>
      <c r="AD219" s="19"/>
      <c r="AE219" s="19"/>
      <c r="AF219" s="19"/>
      <c r="AG219" s="19"/>
      <c r="AH219" s="19"/>
      <c r="AI219" s="19"/>
      <c r="AJ219" s="19"/>
      <c r="AK219" s="19"/>
      <c r="AL219" s="19"/>
      <c r="AM219" s="19"/>
      <c r="AN219" s="19"/>
      <c r="AO219" s="19"/>
      <c r="AP219" s="19">
        <f t="shared" si="9"/>
        <v>1500</v>
      </c>
      <c r="AQ219" s="21">
        <f t="shared" si="10"/>
        <v>90000</v>
      </c>
      <c r="AR219" s="19">
        <f t="shared" si="11"/>
        <v>75000</v>
      </c>
      <c r="AS219" s="19">
        <v>75000</v>
      </c>
    </row>
    <row r="220" spans="1:45" ht="60" x14ac:dyDescent="0.25">
      <c r="A220" s="22" t="s">
        <v>308</v>
      </c>
      <c r="B220" s="43">
        <v>10</v>
      </c>
      <c r="C220" s="23">
        <v>219</v>
      </c>
      <c r="D220" s="282" t="s">
        <v>324</v>
      </c>
      <c r="E220" s="282" t="s">
        <v>324</v>
      </c>
      <c r="F220" s="282" t="s">
        <v>324</v>
      </c>
      <c r="G220" s="282" t="s">
        <v>326</v>
      </c>
      <c r="H220" s="282" t="s">
        <v>326</v>
      </c>
      <c r="I220" s="16" t="s">
        <v>20</v>
      </c>
      <c r="J220" s="104">
        <v>70.099999999999994</v>
      </c>
      <c r="K220" s="104">
        <v>10515</v>
      </c>
      <c r="L220" s="19"/>
      <c r="M220" s="19"/>
      <c r="N220" s="19"/>
      <c r="O220" s="19"/>
      <c r="P220" s="19"/>
      <c r="Q220" s="19"/>
      <c r="R220" s="19"/>
      <c r="S220" s="19"/>
      <c r="T220" s="19"/>
      <c r="U220" s="19"/>
      <c r="V220" s="19"/>
      <c r="W220" s="104">
        <v>150</v>
      </c>
      <c r="X220" s="19"/>
      <c r="Y220" s="19"/>
      <c r="Z220" s="19"/>
      <c r="AA220" s="19"/>
      <c r="AB220" s="19"/>
      <c r="AC220" s="19"/>
      <c r="AD220" s="19"/>
      <c r="AE220" s="19"/>
      <c r="AF220" s="19"/>
      <c r="AG220" s="19"/>
      <c r="AH220" s="19"/>
      <c r="AI220" s="19"/>
      <c r="AJ220" s="19"/>
      <c r="AK220" s="19"/>
      <c r="AL220" s="19"/>
      <c r="AM220" s="19"/>
      <c r="AN220" s="19"/>
      <c r="AO220" s="19"/>
      <c r="AP220" s="19">
        <f t="shared" si="9"/>
        <v>150</v>
      </c>
      <c r="AQ220" s="21">
        <f t="shared" si="10"/>
        <v>10515</v>
      </c>
      <c r="AR220" s="19">
        <f t="shared" si="11"/>
        <v>8762.5</v>
      </c>
      <c r="AS220" s="19">
        <v>8762.5</v>
      </c>
    </row>
    <row r="221" spans="1:45" ht="165" x14ac:dyDescent="0.25">
      <c r="A221" s="22" t="s">
        <v>179</v>
      </c>
      <c r="B221" s="23">
        <v>8</v>
      </c>
      <c r="C221" s="23">
        <v>220</v>
      </c>
      <c r="D221" s="336" t="s">
        <v>194</v>
      </c>
      <c r="E221" s="336" t="s">
        <v>194</v>
      </c>
      <c r="F221" s="336" t="s">
        <v>194</v>
      </c>
      <c r="G221" s="337" t="s">
        <v>195</v>
      </c>
      <c r="H221" s="337" t="s">
        <v>195</v>
      </c>
      <c r="I221" s="16" t="s">
        <v>20</v>
      </c>
      <c r="J221" s="17">
        <v>200</v>
      </c>
      <c r="K221" s="18">
        <f>J221*U221</f>
        <v>140000</v>
      </c>
      <c r="L221" s="19"/>
      <c r="M221" s="19"/>
      <c r="N221" s="19"/>
      <c r="O221" s="19"/>
      <c r="P221" s="19"/>
      <c r="Q221" s="19"/>
      <c r="R221" s="19"/>
      <c r="S221" s="19"/>
      <c r="T221" s="19"/>
      <c r="U221" s="16">
        <v>700</v>
      </c>
      <c r="V221" s="19"/>
      <c r="W221" s="19"/>
      <c r="X221" s="19"/>
      <c r="Y221" s="19"/>
      <c r="Z221" s="19"/>
      <c r="AA221" s="19"/>
      <c r="AB221" s="19"/>
      <c r="AC221" s="19"/>
      <c r="AD221" s="19"/>
      <c r="AE221" s="19"/>
      <c r="AF221" s="19"/>
      <c r="AG221" s="19"/>
      <c r="AH221" s="19"/>
      <c r="AI221" s="19"/>
      <c r="AJ221" s="19"/>
      <c r="AK221" s="19"/>
      <c r="AL221" s="19"/>
      <c r="AM221" s="19"/>
      <c r="AN221" s="19"/>
      <c r="AO221" s="19"/>
      <c r="AP221" s="19">
        <f t="shared" si="9"/>
        <v>700</v>
      </c>
      <c r="AQ221" s="21">
        <f t="shared" si="10"/>
        <v>140000</v>
      </c>
      <c r="AR221" s="19">
        <f t="shared" si="11"/>
        <v>116666.66666666667</v>
      </c>
      <c r="AS221" s="19">
        <v>116666.67</v>
      </c>
    </row>
    <row r="222" spans="1:45" ht="150" x14ac:dyDescent="0.25">
      <c r="A222" s="22" t="s">
        <v>179</v>
      </c>
      <c r="B222" s="23">
        <v>21</v>
      </c>
      <c r="C222" s="23">
        <v>221</v>
      </c>
      <c r="D222" s="338" t="s">
        <v>224</v>
      </c>
      <c r="E222" s="338" t="s">
        <v>224</v>
      </c>
      <c r="F222" s="338" t="s">
        <v>224</v>
      </c>
      <c r="G222" s="282" t="s">
        <v>226</v>
      </c>
      <c r="H222" s="282" t="s">
        <v>226</v>
      </c>
      <c r="I222" s="16" t="s">
        <v>20</v>
      </c>
      <c r="J222" s="17">
        <v>350</v>
      </c>
      <c r="K222" s="18">
        <f>J222*U222</f>
        <v>210000</v>
      </c>
      <c r="L222" s="19"/>
      <c r="M222" s="19"/>
      <c r="N222" s="19"/>
      <c r="O222" s="19"/>
      <c r="P222" s="19"/>
      <c r="Q222" s="19"/>
      <c r="R222" s="19"/>
      <c r="S222" s="19"/>
      <c r="T222" s="19"/>
      <c r="U222" s="16">
        <v>600</v>
      </c>
      <c r="V222" s="19"/>
      <c r="W222" s="19"/>
      <c r="X222" s="19"/>
      <c r="Y222" s="19"/>
      <c r="Z222" s="19"/>
      <c r="AA222" s="19"/>
      <c r="AB222" s="19"/>
      <c r="AC222" s="19"/>
      <c r="AD222" s="19"/>
      <c r="AE222" s="19"/>
      <c r="AF222" s="19"/>
      <c r="AG222" s="19"/>
      <c r="AH222" s="19"/>
      <c r="AI222" s="19"/>
      <c r="AJ222" s="19"/>
      <c r="AK222" s="19"/>
      <c r="AL222" s="19"/>
      <c r="AM222" s="19"/>
      <c r="AN222" s="19"/>
      <c r="AO222" s="19"/>
      <c r="AP222" s="19">
        <f t="shared" si="9"/>
        <v>600</v>
      </c>
      <c r="AQ222" s="21">
        <f t="shared" si="10"/>
        <v>210000</v>
      </c>
      <c r="AR222" s="19">
        <f t="shared" si="11"/>
        <v>175000</v>
      </c>
      <c r="AS222" s="19">
        <v>175000</v>
      </c>
    </row>
    <row r="223" spans="1:45" ht="30" x14ac:dyDescent="0.25">
      <c r="A223" s="22" t="s">
        <v>592</v>
      </c>
      <c r="B223" s="172"/>
      <c r="C223" s="23">
        <v>222</v>
      </c>
      <c r="D223" s="297" t="s">
        <v>644</v>
      </c>
      <c r="E223" s="297" t="s">
        <v>644</v>
      </c>
      <c r="F223" s="297" t="s">
        <v>644</v>
      </c>
      <c r="G223" s="297" t="s">
        <v>644</v>
      </c>
      <c r="H223" s="297" t="s">
        <v>644</v>
      </c>
      <c r="I223" s="16" t="s">
        <v>20</v>
      </c>
      <c r="J223" s="17">
        <v>150</v>
      </c>
      <c r="K223" s="18"/>
      <c r="L223" s="19"/>
      <c r="M223" s="19"/>
      <c r="N223" s="19"/>
      <c r="O223" s="19"/>
      <c r="P223" s="19"/>
      <c r="Q223" s="19"/>
      <c r="R223" s="19"/>
      <c r="S223" s="19"/>
      <c r="T223" s="19"/>
      <c r="U223" s="19"/>
      <c r="V223" s="19"/>
      <c r="W223" s="19"/>
      <c r="X223" s="19"/>
      <c r="Y223" s="19"/>
      <c r="Z223" s="19"/>
      <c r="AA223" s="19"/>
      <c r="AB223" s="19"/>
      <c r="AC223" s="19"/>
      <c r="AD223" s="16">
        <v>2</v>
      </c>
      <c r="AE223" s="19"/>
      <c r="AF223" s="19"/>
      <c r="AG223" s="19"/>
      <c r="AH223" s="19"/>
      <c r="AI223" s="19"/>
      <c r="AJ223" s="19"/>
      <c r="AK223" s="19"/>
      <c r="AL223" s="19"/>
      <c r="AM223" s="19"/>
      <c r="AN223" s="19"/>
      <c r="AO223" s="19"/>
      <c r="AP223" s="19">
        <f t="shared" si="9"/>
        <v>2</v>
      </c>
      <c r="AQ223" s="21">
        <f t="shared" si="10"/>
        <v>300</v>
      </c>
      <c r="AR223" s="19">
        <f t="shared" si="11"/>
        <v>250</v>
      </c>
      <c r="AS223" s="19">
        <v>250</v>
      </c>
    </row>
    <row r="224" spans="1:45" ht="60" x14ac:dyDescent="0.25">
      <c r="A224" s="22" t="s">
        <v>54</v>
      </c>
      <c r="B224" s="43">
        <v>7</v>
      </c>
      <c r="C224" s="23">
        <v>223</v>
      </c>
      <c r="D224" s="299" t="s">
        <v>74</v>
      </c>
      <c r="E224" s="299" t="s">
        <v>74</v>
      </c>
      <c r="F224" s="299" t="s">
        <v>74</v>
      </c>
      <c r="G224" s="299" t="s">
        <v>75</v>
      </c>
      <c r="H224" s="299" t="s">
        <v>75</v>
      </c>
      <c r="I224" s="16" t="s">
        <v>20</v>
      </c>
      <c r="J224" s="17">
        <v>5</v>
      </c>
      <c r="K224" s="49">
        <v>2500</v>
      </c>
      <c r="L224" s="19"/>
      <c r="M224" s="19"/>
      <c r="N224" s="19"/>
      <c r="O224" s="19"/>
      <c r="P224" s="19"/>
      <c r="Q224" s="47">
        <v>500</v>
      </c>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f t="shared" si="9"/>
        <v>500</v>
      </c>
      <c r="AQ224" s="21">
        <f t="shared" si="10"/>
        <v>2500</v>
      </c>
      <c r="AR224" s="19">
        <f t="shared" si="11"/>
        <v>2083.3333333333335</v>
      </c>
      <c r="AS224" s="19">
        <v>2083.34</v>
      </c>
    </row>
    <row r="225" spans="1:45" ht="60" x14ac:dyDescent="0.25">
      <c r="A225" s="22" t="s">
        <v>308</v>
      </c>
      <c r="B225" s="278">
        <v>1</v>
      </c>
      <c r="C225" s="23">
        <v>224</v>
      </c>
      <c r="D225" s="299" t="s">
        <v>341</v>
      </c>
      <c r="E225" s="299" t="s">
        <v>341</v>
      </c>
      <c r="F225" s="299" t="s">
        <v>341</v>
      </c>
      <c r="G225" s="299" t="s">
        <v>780</v>
      </c>
      <c r="H225" s="299" t="s">
        <v>780</v>
      </c>
      <c r="I225" s="47" t="s">
        <v>20</v>
      </c>
      <c r="J225" s="49">
        <v>21</v>
      </c>
      <c r="K225" s="49">
        <v>3150</v>
      </c>
      <c r="L225" s="19"/>
      <c r="M225" s="19"/>
      <c r="N225" s="19"/>
      <c r="O225" s="19"/>
      <c r="P225" s="19"/>
      <c r="Q225" s="19"/>
      <c r="R225" s="19"/>
      <c r="S225" s="19"/>
      <c r="T225" s="19"/>
      <c r="U225" s="19"/>
      <c r="V225" s="19"/>
      <c r="W225" s="47">
        <v>150</v>
      </c>
      <c r="X225" s="19"/>
      <c r="Y225" s="19"/>
      <c r="Z225" s="19"/>
      <c r="AA225" s="19"/>
      <c r="AB225" s="19"/>
      <c r="AC225" s="19"/>
      <c r="AD225" s="19"/>
      <c r="AE225" s="19"/>
      <c r="AF225" s="19"/>
      <c r="AG225" s="19"/>
      <c r="AH225" s="19"/>
      <c r="AI225" s="19"/>
      <c r="AJ225" s="19"/>
      <c r="AK225" s="19"/>
      <c r="AL225" s="19"/>
      <c r="AM225" s="19"/>
      <c r="AN225" s="19"/>
      <c r="AO225" s="19"/>
      <c r="AP225" s="19">
        <f t="shared" si="9"/>
        <v>150</v>
      </c>
      <c r="AQ225" s="21">
        <f t="shared" si="10"/>
        <v>3150</v>
      </c>
      <c r="AR225" s="19">
        <f t="shared" si="11"/>
        <v>2625</v>
      </c>
      <c r="AS225" s="19">
        <v>2625</v>
      </c>
    </row>
    <row r="226" spans="1:45" ht="45" x14ac:dyDescent="0.25">
      <c r="A226" s="22" t="s">
        <v>711</v>
      </c>
      <c r="B226" s="24"/>
      <c r="C226" s="23">
        <v>225</v>
      </c>
      <c r="D226" s="300" t="s">
        <v>712</v>
      </c>
      <c r="E226" s="300" t="s">
        <v>712</v>
      </c>
      <c r="F226" s="300" t="s">
        <v>712</v>
      </c>
      <c r="G226" s="300" t="s">
        <v>712</v>
      </c>
      <c r="H226" s="300" t="s">
        <v>712</v>
      </c>
      <c r="I226" s="16" t="s">
        <v>20</v>
      </c>
      <c r="J226" s="339">
        <v>6.12</v>
      </c>
      <c r="K226" s="340">
        <v>12240</v>
      </c>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341">
        <v>2000</v>
      </c>
      <c r="AL226" s="19"/>
      <c r="AM226" s="19"/>
      <c r="AN226" s="19"/>
      <c r="AO226" s="19"/>
      <c r="AP226" s="19">
        <f t="shared" si="9"/>
        <v>2000</v>
      </c>
      <c r="AQ226" s="21">
        <f t="shared" si="10"/>
        <v>12240</v>
      </c>
      <c r="AR226" s="19">
        <f t="shared" si="11"/>
        <v>10200</v>
      </c>
      <c r="AS226" s="19">
        <v>10200</v>
      </c>
    </row>
    <row r="227" spans="1:45" ht="210" x14ac:dyDescent="0.25">
      <c r="A227" s="22" t="s">
        <v>272</v>
      </c>
      <c r="B227" s="11">
        <v>10</v>
      </c>
      <c r="C227" s="23">
        <v>226</v>
      </c>
      <c r="D227" s="12" t="s">
        <v>305</v>
      </c>
      <c r="E227" s="12" t="s">
        <v>305</v>
      </c>
      <c r="F227" s="12" t="s">
        <v>305</v>
      </c>
      <c r="G227" s="12" t="s">
        <v>307</v>
      </c>
      <c r="H227" s="12" t="s">
        <v>307</v>
      </c>
      <c r="I227" s="16" t="s">
        <v>20</v>
      </c>
      <c r="J227" s="11">
        <v>0.88</v>
      </c>
      <c r="K227" s="11">
        <f>V227*J227</f>
        <v>8800</v>
      </c>
      <c r="L227" s="19"/>
      <c r="M227" s="19"/>
      <c r="N227" s="19"/>
      <c r="O227" s="19"/>
      <c r="P227" s="19"/>
      <c r="Q227" s="19"/>
      <c r="R227" s="19"/>
      <c r="S227" s="19"/>
      <c r="T227" s="19"/>
      <c r="U227" s="19"/>
      <c r="V227" s="11">
        <v>10000</v>
      </c>
      <c r="W227" s="19"/>
      <c r="X227" s="19"/>
      <c r="Y227" s="19"/>
      <c r="Z227" s="19"/>
      <c r="AA227" s="19"/>
      <c r="AB227" s="19"/>
      <c r="AC227" s="19"/>
      <c r="AD227" s="19"/>
      <c r="AE227" s="19"/>
      <c r="AF227" s="19"/>
      <c r="AG227" s="19"/>
      <c r="AH227" s="19"/>
      <c r="AI227" s="19"/>
      <c r="AJ227" s="19"/>
      <c r="AK227" s="19"/>
      <c r="AL227" s="19"/>
      <c r="AM227" s="19"/>
      <c r="AN227" s="19"/>
      <c r="AO227" s="19"/>
      <c r="AP227" s="19">
        <f t="shared" si="9"/>
        <v>10000</v>
      </c>
      <c r="AQ227" s="21">
        <f t="shared" si="10"/>
        <v>8800</v>
      </c>
      <c r="AR227" s="19">
        <f t="shared" si="11"/>
        <v>7333.3333333333339</v>
      </c>
      <c r="AS227" s="19">
        <v>7333.34</v>
      </c>
    </row>
    <row r="228" spans="1:45" ht="165" x14ac:dyDescent="0.25">
      <c r="A228" s="22"/>
      <c r="B228" s="172"/>
      <c r="C228" s="23">
        <v>227</v>
      </c>
      <c r="D228" s="298" t="s">
        <v>453</v>
      </c>
      <c r="E228" s="298" t="s">
        <v>453</v>
      </c>
      <c r="F228" s="298" t="s">
        <v>453</v>
      </c>
      <c r="G228" s="298" t="s">
        <v>767</v>
      </c>
      <c r="H228" s="298" t="s">
        <v>767</v>
      </c>
      <c r="I228" s="16" t="s">
        <v>20</v>
      </c>
      <c r="J228" s="18">
        <v>70</v>
      </c>
      <c r="K228" s="18">
        <f>J228*Y228</f>
        <v>17500</v>
      </c>
      <c r="L228" s="19"/>
      <c r="M228" s="19"/>
      <c r="N228" s="19"/>
      <c r="O228" s="19"/>
      <c r="P228" s="19"/>
      <c r="Q228" s="19"/>
      <c r="R228" s="19"/>
      <c r="S228" s="19"/>
      <c r="T228" s="19"/>
      <c r="U228" s="19"/>
      <c r="V228" s="11">
        <v>200</v>
      </c>
      <c r="W228" s="19"/>
      <c r="X228" s="19"/>
      <c r="Y228" s="16">
        <v>250</v>
      </c>
      <c r="Z228" s="19"/>
      <c r="AA228" s="19"/>
      <c r="AB228" s="104">
        <v>400</v>
      </c>
      <c r="AC228" s="19"/>
      <c r="AD228" s="19"/>
      <c r="AE228" s="19"/>
      <c r="AF228" s="19"/>
      <c r="AG228" s="19"/>
      <c r="AH228" s="19"/>
      <c r="AI228" s="19"/>
      <c r="AJ228" s="19"/>
      <c r="AK228" s="19"/>
      <c r="AL228" s="19"/>
      <c r="AM228" s="19"/>
      <c r="AN228" s="19"/>
      <c r="AO228" s="19"/>
      <c r="AP228" s="19">
        <f t="shared" si="9"/>
        <v>850</v>
      </c>
      <c r="AQ228" s="21">
        <f t="shared" si="10"/>
        <v>59500</v>
      </c>
      <c r="AR228" s="19">
        <f t="shared" si="11"/>
        <v>49583.333333333336</v>
      </c>
      <c r="AS228" s="19">
        <v>49583.340000000004</v>
      </c>
    </row>
    <row r="229" spans="1:45" ht="225" x14ac:dyDescent="0.25">
      <c r="A229" s="22" t="s">
        <v>272</v>
      </c>
      <c r="B229" s="11">
        <v>9</v>
      </c>
      <c r="C229" s="23">
        <v>228</v>
      </c>
      <c r="D229" s="12" t="s">
        <v>302</v>
      </c>
      <c r="E229" s="12" t="s">
        <v>302</v>
      </c>
      <c r="F229" s="12" t="s">
        <v>302</v>
      </c>
      <c r="G229" s="12" t="s">
        <v>304</v>
      </c>
      <c r="H229" s="12" t="s">
        <v>304</v>
      </c>
      <c r="I229" s="16" t="s">
        <v>20</v>
      </c>
      <c r="J229" s="11">
        <v>36</v>
      </c>
      <c r="K229" s="11">
        <f>V229*J229</f>
        <v>21600</v>
      </c>
      <c r="L229" s="19"/>
      <c r="M229" s="19"/>
      <c r="N229" s="19"/>
      <c r="O229" s="19"/>
      <c r="P229" s="19"/>
      <c r="Q229" s="19"/>
      <c r="R229" s="19"/>
      <c r="S229" s="19"/>
      <c r="T229" s="19"/>
      <c r="U229" s="19"/>
      <c r="V229" s="11">
        <v>600</v>
      </c>
      <c r="W229" s="19"/>
      <c r="X229" s="19"/>
      <c r="Y229" s="19"/>
      <c r="Z229" s="19"/>
      <c r="AA229" s="19"/>
      <c r="AB229" s="19"/>
      <c r="AC229" s="19"/>
      <c r="AD229" s="19"/>
      <c r="AE229" s="19"/>
      <c r="AF229" s="19"/>
      <c r="AG229" s="19"/>
      <c r="AH229" s="19"/>
      <c r="AI229" s="19"/>
      <c r="AJ229" s="19"/>
      <c r="AK229" s="19"/>
      <c r="AL229" s="19"/>
      <c r="AM229" s="19"/>
      <c r="AN229" s="19"/>
      <c r="AO229" s="19"/>
      <c r="AP229" s="19">
        <f t="shared" si="9"/>
        <v>600</v>
      </c>
      <c r="AQ229" s="21">
        <f t="shared" si="10"/>
        <v>21600</v>
      </c>
      <c r="AR229" s="19">
        <f t="shared" si="11"/>
        <v>18000</v>
      </c>
      <c r="AS229" s="19">
        <v>18000</v>
      </c>
    </row>
    <row r="230" spans="1:45" ht="45" x14ac:dyDescent="0.25">
      <c r="A230" s="22" t="s">
        <v>452</v>
      </c>
      <c r="B230" s="172"/>
      <c r="C230" s="23">
        <v>229</v>
      </c>
      <c r="D230" s="297" t="s">
        <v>461</v>
      </c>
      <c r="E230" s="297" t="s">
        <v>461</v>
      </c>
      <c r="F230" s="297" t="s">
        <v>461</v>
      </c>
      <c r="G230" s="297" t="s">
        <v>462</v>
      </c>
      <c r="H230" s="297" t="s">
        <v>462</v>
      </c>
      <c r="I230" s="16" t="s">
        <v>20</v>
      </c>
      <c r="J230" s="18">
        <v>220</v>
      </c>
      <c r="K230" s="18">
        <f>J230*Y230</f>
        <v>17600</v>
      </c>
      <c r="L230" s="19"/>
      <c r="M230" s="19"/>
      <c r="N230" s="19"/>
      <c r="O230" s="19"/>
      <c r="P230" s="19"/>
      <c r="Q230" s="19"/>
      <c r="R230" s="19"/>
      <c r="S230" s="19"/>
      <c r="T230" s="19"/>
      <c r="U230" s="19"/>
      <c r="V230" s="19"/>
      <c r="W230" s="19"/>
      <c r="X230" s="19"/>
      <c r="Y230" s="16">
        <v>80</v>
      </c>
      <c r="Z230" s="19"/>
      <c r="AA230" s="19"/>
      <c r="AB230" s="19"/>
      <c r="AC230" s="19"/>
      <c r="AD230" s="19"/>
      <c r="AE230" s="19"/>
      <c r="AF230" s="19"/>
      <c r="AG230" s="19"/>
      <c r="AH230" s="19"/>
      <c r="AI230" s="19"/>
      <c r="AJ230" s="19"/>
      <c r="AK230" s="19"/>
      <c r="AL230" s="19"/>
      <c r="AM230" s="19"/>
      <c r="AN230" s="19"/>
      <c r="AO230" s="19"/>
      <c r="AP230" s="19">
        <f t="shared" si="9"/>
        <v>80</v>
      </c>
      <c r="AQ230" s="21">
        <f t="shared" si="10"/>
        <v>17600</v>
      </c>
      <c r="AR230" s="19">
        <f t="shared" si="11"/>
        <v>14666.666666666668</v>
      </c>
      <c r="AS230" s="19">
        <v>14666.67</v>
      </c>
    </row>
    <row r="231" spans="1:45" ht="45" x14ac:dyDescent="0.25">
      <c r="A231" s="22" t="s">
        <v>452</v>
      </c>
      <c r="B231" s="172"/>
      <c r="C231" s="23">
        <v>230</v>
      </c>
      <c r="D231" s="297" t="s">
        <v>458</v>
      </c>
      <c r="E231" s="297" t="s">
        <v>458</v>
      </c>
      <c r="F231" s="297" t="s">
        <v>458</v>
      </c>
      <c r="G231" s="297" t="s">
        <v>459</v>
      </c>
      <c r="H231" s="297" t="s">
        <v>459</v>
      </c>
      <c r="I231" s="16" t="s">
        <v>661</v>
      </c>
      <c r="J231" s="18">
        <v>1900</v>
      </c>
      <c r="K231" s="18">
        <f>J231*Y231</f>
        <v>7600</v>
      </c>
      <c r="L231" s="19"/>
      <c r="M231" s="19"/>
      <c r="N231" s="19"/>
      <c r="O231" s="19"/>
      <c r="P231" s="19"/>
      <c r="Q231" s="19"/>
      <c r="R231" s="19"/>
      <c r="S231" s="19"/>
      <c r="T231" s="19"/>
      <c r="U231" s="19"/>
      <c r="V231" s="19"/>
      <c r="W231" s="19"/>
      <c r="X231" s="19"/>
      <c r="Y231" s="16">
        <v>4</v>
      </c>
      <c r="Z231" s="19"/>
      <c r="AA231" s="19"/>
      <c r="AB231" s="19"/>
      <c r="AC231" s="19"/>
      <c r="AD231" s="19"/>
      <c r="AE231" s="19"/>
      <c r="AF231" s="19"/>
      <c r="AG231" s="19"/>
      <c r="AH231" s="19"/>
      <c r="AI231" s="19"/>
      <c r="AJ231" s="19"/>
      <c r="AK231" s="19"/>
      <c r="AL231" s="19"/>
      <c r="AM231" s="19"/>
      <c r="AN231" s="19"/>
      <c r="AO231" s="19"/>
      <c r="AP231" s="19">
        <f t="shared" si="9"/>
        <v>4</v>
      </c>
      <c r="AQ231" s="21">
        <f t="shared" si="10"/>
        <v>7600</v>
      </c>
      <c r="AR231" s="19">
        <f t="shared" si="11"/>
        <v>6333.3333333333339</v>
      </c>
      <c r="AS231" s="19">
        <v>6333.34</v>
      </c>
    </row>
    <row r="232" spans="1:45" ht="45" x14ac:dyDescent="0.25">
      <c r="A232" s="22" t="s">
        <v>179</v>
      </c>
      <c r="B232" s="23">
        <v>30</v>
      </c>
      <c r="C232" s="23">
        <v>231</v>
      </c>
      <c r="D232" s="282" t="s">
        <v>72</v>
      </c>
      <c r="E232" s="282" t="s">
        <v>72</v>
      </c>
      <c r="F232" s="282" t="s">
        <v>72</v>
      </c>
      <c r="G232" s="282" t="s">
        <v>768</v>
      </c>
      <c r="H232" s="282" t="s">
        <v>768</v>
      </c>
      <c r="I232" s="17" t="s">
        <v>367</v>
      </c>
      <c r="J232" s="17">
        <v>3</v>
      </c>
      <c r="K232" s="18">
        <f>J232*U232</f>
        <v>12000</v>
      </c>
      <c r="L232" s="19"/>
      <c r="M232" s="19"/>
      <c r="N232" s="19"/>
      <c r="O232" s="19"/>
      <c r="P232" s="19"/>
      <c r="Q232" s="47">
        <v>1000</v>
      </c>
      <c r="R232" s="19"/>
      <c r="S232" s="19"/>
      <c r="T232" s="19"/>
      <c r="U232" s="16">
        <v>4000</v>
      </c>
      <c r="V232" s="19"/>
      <c r="W232" s="19"/>
      <c r="X232" s="19"/>
      <c r="Y232" s="19"/>
      <c r="Z232" s="19"/>
      <c r="AA232" s="19"/>
      <c r="AB232" s="19"/>
      <c r="AC232" s="19"/>
      <c r="AD232" s="19"/>
      <c r="AE232" s="19"/>
      <c r="AF232" s="19"/>
      <c r="AG232" s="19"/>
      <c r="AH232" s="19"/>
      <c r="AI232" s="19"/>
      <c r="AJ232" s="19"/>
      <c r="AK232" s="19"/>
      <c r="AL232" s="19"/>
      <c r="AM232" s="19"/>
      <c r="AN232" s="19"/>
      <c r="AO232" s="19"/>
      <c r="AP232" s="19">
        <f t="shared" si="9"/>
        <v>5000</v>
      </c>
      <c r="AQ232" s="21">
        <f t="shared" si="10"/>
        <v>15000</v>
      </c>
      <c r="AR232" s="19">
        <f t="shared" si="11"/>
        <v>12500</v>
      </c>
      <c r="AS232" s="19">
        <v>12500</v>
      </c>
    </row>
    <row r="233" spans="1:45" ht="135" x14ac:dyDescent="0.25">
      <c r="A233" s="22" t="s">
        <v>179</v>
      </c>
      <c r="B233" s="23">
        <v>29</v>
      </c>
      <c r="C233" s="23">
        <v>232</v>
      </c>
      <c r="D233" s="297" t="s">
        <v>140</v>
      </c>
      <c r="E233" s="297" t="s">
        <v>140</v>
      </c>
      <c r="F233" s="297" t="s">
        <v>766</v>
      </c>
      <c r="G233" s="299" t="s">
        <v>769</v>
      </c>
      <c r="H233" s="299" t="s">
        <v>769</v>
      </c>
      <c r="I233" s="17" t="s">
        <v>490</v>
      </c>
      <c r="J233" s="17">
        <v>3</v>
      </c>
      <c r="K233" s="18">
        <f>J233*U233</f>
        <v>18000</v>
      </c>
      <c r="L233" s="19"/>
      <c r="M233" s="19"/>
      <c r="N233" s="19"/>
      <c r="O233" s="19"/>
      <c r="P233" s="19"/>
      <c r="Q233" s="19"/>
      <c r="R233" s="16">
        <v>220000</v>
      </c>
      <c r="S233" s="19"/>
      <c r="T233" s="19"/>
      <c r="U233" s="16">
        <v>6000</v>
      </c>
      <c r="V233" s="19"/>
      <c r="W233" s="19"/>
      <c r="X233" s="19"/>
      <c r="Y233" s="19"/>
      <c r="Z233" s="19"/>
      <c r="AA233" s="19"/>
      <c r="AB233" s="19"/>
      <c r="AC233" s="19"/>
      <c r="AD233" s="19"/>
      <c r="AE233" s="19"/>
      <c r="AF233" s="19"/>
      <c r="AG233" s="19"/>
      <c r="AH233" s="19"/>
      <c r="AI233" s="19"/>
      <c r="AJ233" s="19"/>
      <c r="AK233" s="19"/>
      <c r="AL233" s="19"/>
      <c r="AM233" s="19"/>
      <c r="AN233" s="19"/>
      <c r="AO233" s="19"/>
      <c r="AP233" s="19">
        <f t="shared" si="9"/>
        <v>226000</v>
      </c>
      <c r="AQ233" s="21">
        <f t="shared" si="10"/>
        <v>678000</v>
      </c>
      <c r="AR233" s="19">
        <f t="shared" si="11"/>
        <v>565000</v>
      </c>
      <c r="AS233" s="19">
        <v>565000</v>
      </c>
    </row>
    <row r="234" spans="1:45" ht="45" x14ac:dyDescent="0.25">
      <c r="A234" s="22" t="s">
        <v>308</v>
      </c>
      <c r="B234" s="43">
        <v>9</v>
      </c>
      <c r="C234" s="23">
        <v>233</v>
      </c>
      <c r="D234" s="282" t="s">
        <v>322</v>
      </c>
      <c r="E234" s="282" t="s">
        <v>322</v>
      </c>
      <c r="F234" s="282" t="s">
        <v>322</v>
      </c>
      <c r="G234" s="282" t="s">
        <v>743</v>
      </c>
      <c r="H234" s="282" t="s">
        <v>743</v>
      </c>
      <c r="I234" s="17" t="s">
        <v>367</v>
      </c>
      <c r="J234" s="104">
        <v>70</v>
      </c>
      <c r="K234" s="104">
        <v>10550</v>
      </c>
      <c r="L234" s="19"/>
      <c r="M234" s="19"/>
      <c r="N234" s="19"/>
      <c r="O234" s="19"/>
      <c r="P234" s="19"/>
      <c r="Q234" s="19"/>
      <c r="R234" s="19"/>
      <c r="S234" s="19"/>
      <c r="T234" s="19"/>
      <c r="U234" s="19"/>
      <c r="V234" s="19"/>
      <c r="W234" s="104">
        <v>10000</v>
      </c>
      <c r="X234" s="19"/>
      <c r="Y234" s="19"/>
      <c r="Z234" s="19"/>
      <c r="AA234" s="19"/>
      <c r="AB234" s="19"/>
      <c r="AC234" s="19"/>
      <c r="AD234" s="19"/>
      <c r="AE234" s="19"/>
      <c r="AF234" s="19"/>
      <c r="AG234" s="19"/>
      <c r="AH234" s="19"/>
      <c r="AI234" s="19"/>
      <c r="AJ234" s="19"/>
      <c r="AK234" s="19"/>
      <c r="AL234" s="19"/>
      <c r="AM234" s="19"/>
      <c r="AN234" s="19"/>
      <c r="AO234" s="19"/>
      <c r="AP234" s="19">
        <f t="shared" si="9"/>
        <v>10000</v>
      </c>
      <c r="AQ234" s="21">
        <f t="shared" si="10"/>
        <v>700000</v>
      </c>
      <c r="AR234" s="19">
        <f t="shared" si="11"/>
        <v>583333.33333333337</v>
      </c>
      <c r="AS234" s="19">
        <v>583333.34</v>
      </c>
    </row>
    <row r="235" spans="1:45" ht="210" x14ac:dyDescent="0.25">
      <c r="A235" s="19"/>
      <c r="B235" s="43">
        <v>3</v>
      </c>
      <c r="C235" s="23">
        <v>234</v>
      </c>
      <c r="D235" s="297" t="s">
        <v>43</v>
      </c>
      <c r="E235" s="297" t="s">
        <v>43</v>
      </c>
      <c r="F235" s="297" t="s">
        <v>43</v>
      </c>
      <c r="G235" s="299" t="s">
        <v>778</v>
      </c>
      <c r="H235" s="299" t="s">
        <v>778</v>
      </c>
      <c r="I235" s="16" t="s">
        <v>20</v>
      </c>
      <c r="J235" s="49">
        <v>144</v>
      </c>
      <c r="K235" s="49">
        <v>2880</v>
      </c>
      <c r="L235" s="19"/>
      <c r="M235" s="19"/>
      <c r="N235" s="19"/>
      <c r="O235" s="19"/>
      <c r="P235" s="16">
        <v>1000</v>
      </c>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f t="shared" si="9"/>
        <v>1000</v>
      </c>
      <c r="AQ235" s="21">
        <f t="shared" si="10"/>
        <v>144000</v>
      </c>
      <c r="AR235" s="19">
        <f t="shared" si="11"/>
        <v>120000</v>
      </c>
      <c r="AS235" s="19">
        <v>120000</v>
      </c>
    </row>
    <row r="236" spans="1:45" ht="210" x14ac:dyDescent="0.25">
      <c r="A236" s="22" t="s">
        <v>54</v>
      </c>
      <c r="B236" s="43">
        <v>5</v>
      </c>
      <c r="C236" s="23">
        <v>235</v>
      </c>
      <c r="D236" s="297" t="s">
        <v>69</v>
      </c>
      <c r="E236" s="297" t="s">
        <v>69</v>
      </c>
      <c r="F236" s="297" t="s">
        <v>69</v>
      </c>
      <c r="G236" s="299" t="s">
        <v>70</v>
      </c>
      <c r="H236" s="299" t="s">
        <v>70</v>
      </c>
      <c r="I236" s="16" t="s">
        <v>20</v>
      </c>
      <c r="J236" s="17">
        <v>4.0999999999999996</v>
      </c>
      <c r="K236" s="49">
        <v>4100</v>
      </c>
      <c r="L236" s="19"/>
      <c r="M236" s="19"/>
      <c r="N236" s="19"/>
      <c r="O236" s="19"/>
      <c r="P236" s="19"/>
      <c r="Q236" s="47">
        <v>1000</v>
      </c>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f t="shared" si="9"/>
        <v>1000</v>
      </c>
      <c r="AQ236" s="21">
        <f t="shared" si="10"/>
        <v>4100</v>
      </c>
      <c r="AR236" s="19">
        <f t="shared" si="11"/>
        <v>3416.666666666667</v>
      </c>
      <c r="AS236" s="19">
        <v>3416.67</v>
      </c>
    </row>
    <row r="237" spans="1:45" ht="225" x14ac:dyDescent="0.25">
      <c r="A237" s="22"/>
      <c r="B237" s="172">
        <v>1</v>
      </c>
      <c r="C237" s="23">
        <v>236</v>
      </c>
      <c r="D237" s="297" t="s">
        <v>29</v>
      </c>
      <c r="E237" s="297" t="s">
        <v>29</v>
      </c>
      <c r="F237" s="297" t="s">
        <v>29</v>
      </c>
      <c r="G237" s="297" t="s">
        <v>779</v>
      </c>
      <c r="H237" s="297" t="s">
        <v>779</v>
      </c>
      <c r="I237" s="16" t="s">
        <v>20</v>
      </c>
      <c r="J237" s="18">
        <v>6.5</v>
      </c>
      <c r="K237" s="18">
        <f>J237*N237</f>
        <v>6500</v>
      </c>
      <c r="L237" s="19"/>
      <c r="M237" s="19"/>
      <c r="N237" s="16">
        <v>1000</v>
      </c>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f t="shared" ref="AP237:AP264" si="12">SUM(L237:AO237)</f>
        <v>1000</v>
      </c>
      <c r="AQ237" s="21">
        <f t="shared" si="10"/>
        <v>6500</v>
      </c>
      <c r="AR237" s="19">
        <f t="shared" si="11"/>
        <v>5416.666666666667</v>
      </c>
      <c r="AS237" s="19">
        <v>5416.67</v>
      </c>
    </row>
    <row r="238" spans="1:45" ht="180" x14ac:dyDescent="0.25">
      <c r="A238" s="19"/>
      <c r="B238" s="205">
        <v>5</v>
      </c>
      <c r="C238" s="23">
        <v>237</v>
      </c>
      <c r="D238" s="297" t="s">
        <v>29</v>
      </c>
      <c r="E238" s="297" t="s">
        <v>29</v>
      </c>
      <c r="F238" s="297" t="s">
        <v>29</v>
      </c>
      <c r="G238" s="302" t="s">
        <v>657</v>
      </c>
      <c r="H238" s="302" t="s">
        <v>657</v>
      </c>
      <c r="I238" s="16" t="s">
        <v>20</v>
      </c>
      <c r="J238" s="17">
        <v>4</v>
      </c>
      <c r="K238" s="207">
        <v>1600</v>
      </c>
      <c r="L238" s="19"/>
      <c r="M238" s="19"/>
      <c r="N238" s="19"/>
      <c r="O238" s="19"/>
      <c r="P238" s="19"/>
      <c r="Q238" s="19"/>
      <c r="R238" s="19"/>
      <c r="S238" s="19"/>
      <c r="T238" s="19"/>
      <c r="U238" s="19"/>
      <c r="V238" s="19"/>
      <c r="W238" s="19"/>
      <c r="X238" s="19"/>
      <c r="Y238" s="19"/>
      <c r="Z238" s="19"/>
      <c r="AA238" s="19"/>
      <c r="AB238" s="19"/>
      <c r="AC238" s="19"/>
      <c r="AD238" s="19"/>
      <c r="AE238" s="19"/>
      <c r="AF238" s="174">
        <v>400</v>
      </c>
      <c r="AG238" s="19"/>
      <c r="AH238" s="19"/>
      <c r="AI238" s="19"/>
      <c r="AJ238" s="19"/>
      <c r="AK238" s="19"/>
      <c r="AL238" s="19"/>
      <c r="AM238" s="19"/>
      <c r="AN238" s="19"/>
      <c r="AO238" s="19"/>
      <c r="AP238" s="19">
        <f t="shared" si="12"/>
        <v>400</v>
      </c>
      <c r="AQ238" s="21">
        <f t="shared" si="10"/>
        <v>1600</v>
      </c>
      <c r="AR238" s="19">
        <f t="shared" si="11"/>
        <v>1333.3333333333335</v>
      </c>
      <c r="AS238" s="19">
        <v>1333.34</v>
      </c>
    </row>
    <row r="239" spans="1:45" ht="180" x14ac:dyDescent="0.25">
      <c r="A239" s="22" t="s">
        <v>160</v>
      </c>
      <c r="B239" s="43">
        <v>5</v>
      </c>
      <c r="C239" s="23">
        <v>238</v>
      </c>
      <c r="D239" s="297" t="s">
        <v>176</v>
      </c>
      <c r="E239" s="297" t="s">
        <v>176</v>
      </c>
      <c r="F239" s="297" t="s">
        <v>176</v>
      </c>
      <c r="G239" s="299" t="s">
        <v>178</v>
      </c>
      <c r="H239" s="299" t="s">
        <v>178</v>
      </c>
      <c r="I239" s="16" t="s">
        <v>20</v>
      </c>
      <c r="J239" s="303">
        <v>7</v>
      </c>
      <c r="K239" s="66">
        <v>1400</v>
      </c>
      <c r="L239" s="19"/>
      <c r="M239" s="19"/>
      <c r="N239" s="19"/>
      <c r="O239" s="19"/>
      <c r="P239" s="19"/>
      <c r="Q239" s="19"/>
      <c r="R239" s="19"/>
      <c r="S239" s="19"/>
      <c r="T239" s="65">
        <v>200</v>
      </c>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f t="shared" si="12"/>
        <v>200</v>
      </c>
      <c r="AQ239" s="21">
        <f t="shared" si="10"/>
        <v>1400</v>
      </c>
      <c r="AR239" s="19">
        <f t="shared" si="11"/>
        <v>1166.6666666666667</v>
      </c>
      <c r="AS239" s="19">
        <v>1166.67</v>
      </c>
    </row>
    <row r="240" spans="1:45" ht="210" x14ac:dyDescent="0.25">
      <c r="A240" s="19"/>
      <c r="B240" s="205">
        <v>1</v>
      </c>
      <c r="C240" s="23">
        <v>239</v>
      </c>
      <c r="D240" s="297" t="s">
        <v>689</v>
      </c>
      <c r="E240" s="297" t="s">
        <v>689</v>
      </c>
      <c r="F240" s="297" t="s">
        <v>689</v>
      </c>
      <c r="G240" s="302" t="s">
        <v>691</v>
      </c>
      <c r="H240" s="302" t="s">
        <v>691</v>
      </c>
      <c r="I240" s="16" t="s">
        <v>20</v>
      </c>
      <c r="J240" s="207">
        <v>162</v>
      </c>
      <c r="K240" s="207">
        <v>32400</v>
      </c>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74">
        <v>10000</v>
      </c>
      <c r="AI240" s="19"/>
      <c r="AJ240" s="19"/>
      <c r="AK240" s="19"/>
      <c r="AL240" s="19"/>
      <c r="AM240" s="19"/>
      <c r="AN240" s="19"/>
      <c r="AO240" s="19"/>
      <c r="AP240" s="19">
        <f t="shared" si="12"/>
        <v>10000</v>
      </c>
      <c r="AQ240" s="21">
        <f t="shared" si="10"/>
        <v>1620000</v>
      </c>
      <c r="AR240" s="19">
        <f t="shared" si="11"/>
        <v>1350000</v>
      </c>
      <c r="AS240" s="19">
        <v>1350000</v>
      </c>
    </row>
    <row r="241" spans="1:45" ht="135" x14ac:dyDescent="0.25">
      <c r="A241" s="22" t="s">
        <v>452</v>
      </c>
      <c r="B241" s="172"/>
      <c r="C241" s="172">
        <v>240</v>
      </c>
      <c r="D241" s="282" t="s">
        <v>487</v>
      </c>
      <c r="E241" s="282" t="s">
        <v>487</v>
      </c>
      <c r="F241" s="282" t="s">
        <v>487</v>
      </c>
      <c r="G241" s="342" t="s">
        <v>771</v>
      </c>
      <c r="H241" s="342" t="s">
        <v>771</v>
      </c>
      <c r="I241" s="17" t="s">
        <v>490</v>
      </c>
      <c r="J241" s="18">
        <v>0.32</v>
      </c>
      <c r="K241" s="18">
        <f>J241*Y241</f>
        <v>320</v>
      </c>
      <c r="L241" s="19"/>
      <c r="M241" s="19"/>
      <c r="N241" s="19"/>
      <c r="O241" s="19"/>
      <c r="P241" s="19"/>
      <c r="Q241" s="19"/>
      <c r="R241" s="19"/>
      <c r="S241" s="19"/>
      <c r="T241" s="19"/>
      <c r="U241" s="19"/>
      <c r="V241" s="19"/>
      <c r="W241" s="19"/>
      <c r="X241" s="19"/>
      <c r="Y241" s="104">
        <v>1000</v>
      </c>
      <c r="Z241" s="19"/>
      <c r="AA241" s="19"/>
      <c r="AB241" s="19"/>
      <c r="AC241" s="19"/>
      <c r="AD241" s="19"/>
      <c r="AE241" s="19"/>
      <c r="AF241" s="19"/>
      <c r="AG241" s="19"/>
      <c r="AH241" s="19"/>
      <c r="AI241" s="19"/>
      <c r="AJ241" s="19"/>
      <c r="AK241" s="19"/>
      <c r="AL241" s="19"/>
      <c r="AM241" s="19"/>
      <c r="AN241" s="19"/>
      <c r="AO241" s="19"/>
      <c r="AP241" s="19">
        <f t="shared" si="12"/>
        <v>1000</v>
      </c>
      <c r="AQ241" s="21">
        <f t="shared" si="10"/>
        <v>320</v>
      </c>
      <c r="AR241" s="19">
        <f t="shared" si="11"/>
        <v>266.66666666666669</v>
      </c>
      <c r="AS241" s="19">
        <v>266.67</v>
      </c>
    </row>
    <row r="242" spans="1:45" ht="45" x14ac:dyDescent="0.25">
      <c r="A242" s="22"/>
      <c r="B242" s="172"/>
      <c r="C242" s="172">
        <v>240</v>
      </c>
      <c r="D242" s="282" t="s">
        <v>770</v>
      </c>
      <c r="E242" s="282" t="s">
        <v>770</v>
      </c>
      <c r="F242" s="282" t="s">
        <v>770</v>
      </c>
      <c r="G242" s="342" t="s">
        <v>770</v>
      </c>
      <c r="H242" s="342" t="s">
        <v>770</v>
      </c>
      <c r="I242" s="16" t="s">
        <v>20</v>
      </c>
      <c r="J242" s="18"/>
      <c r="K242" s="18"/>
      <c r="L242" s="19"/>
      <c r="M242" s="19"/>
      <c r="N242" s="19"/>
      <c r="O242" s="19"/>
      <c r="P242" s="19"/>
      <c r="Q242" s="19"/>
      <c r="R242" s="19"/>
      <c r="S242" s="19"/>
      <c r="T242" s="19"/>
      <c r="U242" s="19"/>
      <c r="V242" s="19"/>
      <c r="W242" s="19"/>
      <c r="X242" s="19"/>
      <c r="Y242" s="104">
        <v>1</v>
      </c>
      <c r="Z242" s="19"/>
      <c r="AA242" s="19"/>
      <c r="AB242" s="19"/>
      <c r="AC242" s="19"/>
      <c r="AD242" s="19"/>
      <c r="AE242" s="19"/>
      <c r="AF242" s="19"/>
      <c r="AG242" s="19"/>
      <c r="AH242" s="19"/>
      <c r="AI242" s="19"/>
      <c r="AJ242" s="19"/>
      <c r="AK242" s="19"/>
      <c r="AL242" s="19"/>
      <c r="AM242" s="19"/>
      <c r="AN242" s="19"/>
      <c r="AO242" s="19"/>
      <c r="AP242" s="19">
        <f t="shared" si="12"/>
        <v>1</v>
      </c>
      <c r="AQ242" s="21">
        <f t="shared" si="10"/>
        <v>0</v>
      </c>
      <c r="AR242" s="19">
        <f t="shared" si="11"/>
        <v>0</v>
      </c>
      <c r="AS242" s="19">
        <v>0</v>
      </c>
    </row>
    <row r="243" spans="1:45" ht="120" x14ac:dyDescent="0.25">
      <c r="A243" s="22" t="s">
        <v>452</v>
      </c>
      <c r="B243" s="172"/>
      <c r="C243" s="172">
        <v>241</v>
      </c>
      <c r="D243" s="282" t="s">
        <v>491</v>
      </c>
      <c r="E243" s="282" t="s">
        <v>491</v>
      </c>
      <c r="F243" s="282" t="s">
        <v>491</v>
      </c>
      <c r="G243" s="342" t="s">
        <v>772</v>
      </c>
      <c r="H243" s="342" t="s">
        <v>772</v>
      </c>
      <c r="I243" s="17" t="s">
        <v>494</v>
      </c>
      <c r="J243" s="18">
        <v>0.12</v>
      </c>
      <c r="K243" s="18">
        <f>J243*Y243</f>
        <v>120</v>
      </c>
      <c r="L243" s="19"/>
      <c r="M243" s="19"/>
      <c r="N243" s="19"/>
      <c r="O243" s="19"/>
      <c r="P243" s="19"/>
      <c r="Q243" s="19"/>
      <c r="R243" s="19"/>
      <c r="S243" s="19"/>
      <c r="T243" s="19"/>
      <c r="U243" s="19"/>
      <c r="V243" s="19"/>
      <c r="W243" s="19"/>
      <c r="X243" s="19"/>
      <c r="Y243" s="104">
        <v>1000</v>
      </c>
      <c r="Z243" s="19"/>
      <c r="AA243" s="19"/>
      <c r="AB243" s="19"/>
      <c r="AC243" s="19"/>
      <c r="AD243" s="19"/>
      <c r="AE243" s="19"/>
      <c r="AF243" s="19"/>
      <c r="AG243" s="19"/>
      <c r="AH243" s="19"/>
      <c r="AI243" s="19"/>
      <c r="AJ243" s="19"/>
      <c r="AK243" s="19"/>
      <c r="AL243" s="19"/>
      <c r="AM243" s="19"/>
      <c r="AN243" s="19"/>
      <c r="AO243" s="19"/>
      <c r="AP243" s="19">
        <f t="shared" si="12"/>
        <v>1000</v>
      </c>
      <c r="AQ243" s="21">
        <f t="shared" si="10"/>
        <v>120</v>
      </c>
      <c r="AR243" s="19">
        <f t="shared" si="11"/>
        <v>100</v>
      </c>
      <c r="AS243" s="19">
        <v>100</v>
      </c>
    </row>
    <row r="244" spans="1:45" ht="45" x14ac:dyDescent="0.25">
      <c r="A244" s="22"/>
      <c r="B244" s="172"/>
      <c r="C244" s="172">
        <v>241</v>
      </c>
      <c r="D244" s="282" t="s">
        <v>770</v>
      </c>
      <c r="E244" s="282" t="s">
        <v>770</v>
      </c>
      <c r="F244" s="282" t="s">
        <v>770</v>
      </c>
      <c r="G244" s="342" t="s">
        <v>770</v>
      </c>
      <c r="H244" s="342" t="s">
        <v>770</v>
      </c>
      <c r="I244" s="16" t="s">
        <v>20</v>
      </c>
      <c r="J244" s="18"/>
      <c r="K244" s="18"/>
      <c r="L244" s="19"/>
      <c r="M244" s="19"/>
      <c r="N244" s="19"/>
      <c r="O244" s="19"/>
      <c r="P244" s="19"/>
      <c r="Q244" s="19"/>
      <c r="R244" s="19"/>
      <c r="S244" s="19"/>
      <c r="T244" s="19"/>
      <c r="U244" s="19"/>
      <c r="V244" s="19"/>
      <c r="W244" s="19"/>
      <c r="X244" s="19"/>
      <c r="Y244" s="104">
        <v>1</v>
      </c>
      <c r="Z244" s="19"/>
      <c r="AA244" s="19"/>
      <c r="AB244" s="19"/>
      <c r="AC244" s="19"/>
      <c r="AD244" s="19"/>
      <c r="AE244" s="19"/>
      <c r="AF244" s="19"/>
      <c r="AG244" s="19"/>
      <c r="AH244" s="19"/>
      <c r="AI244" s="19"/>
      <c r="AJ244" s="19"/>
      <c r="AK244" s="19"/>
      <c r="AL244" s="19"/>
      <c r="AM244" s="19"/>
      <c r="AN244" s="19"/>
      <c r="AO244" s="19"/>
      <c r="AP244" s="19">
        <f t="shared" si="12"/>
        <v>1</v>
      </c>
      <c r="AQ244" s="21">
        <f t="shared" si="10"/>
        <v>0</v>
      </c>
      <c r="AR244" s="19">
        <f t="shared" si="11"/>
        <v>0</v>
      </c>
      <c r="AS244" s="19">
        <v>0</v>
      </c>
    </row>
    <row r="245" spans="1:45" ht="120" x14ac:dyDescent="0.25">
      <c r="A245" s="22"/>
      <c r="B245" s="43">
        <v>1</v>
      </c>
      <c r="C245" s="43">
        <v>242</v>
      </c>
      <c r="D245" s="311" t="s">
        <v>55</v>
      </c>
      <c r="E245" s="311" t="s">
        <v>55</v>
      </c>
      <c r="F245" s="311" t="s">
        <v>55</v>
      </c>
      <c r="G245" s="311" t="s">
        <v>773</v>
      </c>
      <c r="H245" s="311" t="s">
        <v>773</v>
      </c>
      <c r="I245" s="16" t="s">
        <v>20</v>
      </c>
      <c r="J245" s="17">
        <v>0.33</v>
      </c>
      <c r="K245" s="49">
        <v>2310</v>
      </c>
      <c r="L245" s="19"/>
      <c r="M245" s="19"/>
      <c r="N245" s="19"/>
      <c r="O245" s="19"/>
      <c r="P245" s="19"/>
      <c r="Q245" s="47">
        <v>7000</v>
      </c>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f t="shared" si="12"/>
        <v>7000</v>
      </c>
      <c r="AQ245" s="21">
        <f t="shared" si="10"/>
        <v>2310</v>
      </c>
      <c r="AR245" s="19">
        <f t="shared" si="11"/>
        <v>1925</v>
      </c>
      <c r="AS245" s="19">
        <v>1925</v>
      </c>
    </row>
    <row r="246" spans="1:45" ht="45" x14ac:dyDescent="0.25">
      <c r="A246" s="22"/>
      <c r="B246" s="43"/>
      <c r="C246" s="43">
        <v>242</v>
      </c>
      <c r="D246" s="282" t="s">
        <v>770</v>
      </c>
      <c r="E246" s="282" t="s">
        <v>770</v>
      </c>
      <c r="F246" s="282" t="s">
        <v>770</v>
      </c>
      <c r="G246" s="342" t="s">
        <v>770</v>
      </c>
      <c r="H246" s="342" t="s">
        <v>770</v>
      </c>
      <c r="I246" s="16" t="s">
        <v>20</v>
      </c>
      <c r="J246" s="17"/>
      <c r="K246" s="49"/>
      <c r="L246" s="19"/>
      <c r="M246" s="19"/>
      <c r="N246" s="19"/>
      <c r="O246" s="19"/>
      <c r="P246" s="19"/>
      <c r="Q246" s="47">
        <v>7</v>
      </c>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f t="shared" si="12"/>
        <v>7</v>
      </c>
      <c r="AQ246" s="21">
        <f t="shared" si="10"/>
        <v>0</v>
      </c>
      <c r="AR246" s="19">
        <f t="shared" si="11"/>
        <v>0</v>
      </c>
      <c r="AS246" s="19">
        <v>0</v>
      </c>
    </row>
    <row r="247" spans="1:45" ht="120" x14ac:dyDescent="0.25">
      <c r="A247" s="22" t="s">
        <v>54</v>
      </c>
      <c r="B247" s="43">
        <v>2</v>
      </c>
      <c r="C247" s="43">
        <v>243</v>
      </c>
      <c r="D247" s="311" t="s">
        <v>59</v>
      </c>
      <c r="E247" s="311" t="s">
        <v>59</v>
      </c>
      <c r="F247" s="311" t="s">
        <v>59</v>
      </c>
      <c r="G247" s="311" t="s">
        <v>774</v>
      </c>
      <c r="H247" s="311" t="s">
        <v>774</v>
      </c>
      <c r="I247" s="16" t="s">
        <v>20</v>
      </c>
      <c r="J247" s="49">
        <v>0.33</v>
      </c>
      <c r="K247" s="49">
        <v>2310</v>
      </c>
      <c r="L247" s="19"/>
      <c r="M247" s="19"/>
      <c r="N247" s="19"/>
      <c r="O247" s="19"/>
      <c r="P247" s="19"/>
      <c r="Q247" s="47">
        <v>7000</v>
      </c>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f t="shared" si="12"/>
        <v>7000</v>
      </c>
      <c r="AQ247" s="21">
        <f t="shared" si="10"/>
        <v>2310</v>
      </c>
      <c r="AR247" s="19">
        <f t="shared" si="11"/>
        <v>1925</v>
      </c>
      <c r="AS247" s="19">
        <v>1925</v>
      </c>
    </row>
    <row r="248" spans="1:45" ht="45" x14ac:dyDescent="0.25">
      <c r="A248" s="22"/>
      <c r="B248" s="43"/>
      <c r="C248" s="43">
        <v>243</v>
      </c>
      <c r="D248" s="282" t="s">
        <v>770</v>
      </c>
      <c r="E248" s="282" t="s">
        <v>770</v>
      </c>
      <c r="F248" s="282" t="s">
        <v>770</v>
      </c>
      <c r="G248" s="342" t="s">
        <v>770</v>
      </c>
      <c r="H248" s="342" t="s">
        <v>770</v>
      </c>
      <c r="I248" s="16" t="s">
        <v>20</v>
      </c>
      <c r="J248" s="49"/>
      <c r="K248" s="49"/>
      <c r="L248" s="19"/>
      <c r="M248" s="19"/>
      <c r="N248" s="19"/>
      <c r="O248" s="19"/>
      <c r="P248" s="19"/>
      <c r="Q248" s="47">
        <v>7</v>
      </c>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f t="shared" si="12"/>
        <v>7</v>
      </c>
      <c r="AQ248" s="21">
        <f t="shared" si="10"/>
        <v>0</v>
      </c>
      <c r="AR248" s="19">
        <f t="shared" si="11"/>
        <v>0</v>
      </c>
      <c r="AS248" s="19">
        <v>0</v>
      </c>
    </row>
    <row r="249" spans="1:45" ht="120" x14ac:dyDescent="0.25">
      <c r="A249" s="22" t="s">
        <v>592</v>
      </c>
      <c r="B249" s="172"/>
      <c r="C249" s="172">
        <v>244</v>
      </c>
      <c r="D249" s="318" t="s">
        <v>748</v>
      </c>
      <c r="E249" s="318" t="s">
        <v>748</v>
      </c>
      <c r="F249" s="318" t="s">
        <v>748</v>
      </c>
      <c r="G249" s="318" t="s">
        <v>775</v>
      </c>
      <c r="H249" s="318" t="s">
        <v>775</v>
      </c>
      <c r="I249" s="16" t="s">
        <v>20</v>
      </c>
      <c r="J249" s="343">
        <v>0.12</v>
      </c>
      <c r="K249" s="18">
        <f>J249*AD249</f>
        <v>360</v>
      </c>
      <c r="L249" s="19"/>
      <c r="M249" s="19"/>
      <c r="N249" s="19"/>
      <c r="O249" s="19"/>
      <c r="P249" s="19"/>
      <c r="Q249" s="19"/>
      <c r="R249" s="19"/>
      <c r="S249" s="19"/>
      <c r="T249" s="19"/>
      <c r="U249" s="19"/>
      <c r="V249" s="19"/>
      <c r="W249" s="19"/>
      <c r="X249" s="19"/>
      <c r="Y249" s="19"/>
      <c r="Z249" s="19"/>
      <c r="AA249" s="19"/>
      <c r="AB249" s="19"/>
      <c r="AC249" s="19"/>
      <c r="AD249" s="295">
        <v>3000</v>
      </c>
      <c r="AE249" s="19"/>
      <c r="AF249" s="19"/>
      <c r="AG249" s="19"/>
      <c r="AH249" s="19"/>
      <c r="AI249" s="19"/>
      <c r="AJ249" s="19"/>
      <c r="AK249" s="19"/>
      <c r="AL249" s="19"/>
      <c r="AM249" s="19"/>
      <c r="AN249" s="19"/>
      <c r="AO249" s="19"/>
      <c r="AP249" s="19">
        <f t="shared" si="12"/>
        <v>3000</v>
      </c>
      <c r="AQ249" s="21">
        <f t="shared" si="10"/>
        <v>360</v>
      </c>
      <c r="AR249" s="19">
        <f t="shared" si="11"/>
        <v>300</v>
      </c>
      <c r="AS249" s="19">
        <v>300</v>
      </c>
    </row>
    <row r="250" spans="1:45" ht="45" x14ac:dyDescent="0.25">
      <c r="A250" s="22"/>
      <c r="B250" s="172"/>
      <c r="C250" s="172">
        <v>244</v>
      </c>
      <c r="D250" s="282" t="s">
        <v>770</v>
      </c>
      <c r="E250" s="282" t="s">
        <v>770</v>
      </c>
      <c r="F250" s="282" t="s">
        <v>770</v>
      </c>
      <c r="G250" s="342" t="s">
        <v>770</v>
      </c>
      <c r="H250" s="342" t="s">
        <v>770</v>
      </c>
      <c r="I250" s="16" t="s">
        <v>20</v>
      </c>
      <c r="J250" s="343"/>
      <c r="K250" s="18"/>
      <c r="L250" s="19"/>
      <c r="M250" s="19"/>
      <c r="N250" s="19"/>
      <c r="O250" s="19"/>
      <c r="P250" s="19"/>
      <c r="Q250" s="19"/>
      <c r="R250" s="19"/>
      <c r="S250" s="19"/>
      <c r="T250" s="19"/>
      <c r="U250" s="19"/>
      <c r="V250" s="19"/>
      <c r="W250" s="19"/>
      <c r="X250" s="19"/>
      <c r="Y250" s="19"/>
      <c r="Z250" s="19"/>
      <c r="AA250" s="19"/>
      <c r="AB250" s="19"/>
      <c r="AC250" s="19"/>
      <c r="AD250" s="295">
        <v>3</v>
      </c>
      <c r="AE250" s="19"/>
      <c r="AF250" s="19"/>
      <c r="AG250" s="19"/>
      <c r="AH250" s="19"/>
      <c r="AI250" s="19"/>
      <c r="AJ250" s="19"/>
      <c r="AK250" s="19"/>
      <c r="AL250" s="19"/>
      <c r="AM250" s="19"/>
      <c r="AN250" s="19"/>
      <c r="AO250" s="19"/>
      <c r="AP250" s="19">
        <f t="shared" si="12"/>
        <v>3</v>
      </c>
      <c r="AQ250" s="21">
        <f t="shared" si="10"/>
        <v>0</v>
      </c>
      <c r="AR250" s="19">
        <f t="shared" si="11"/>
        <v>0</v>
      </c>
      <c r="AS250" s="19">
        <v>0</v>
      </c>
    </row>
    <row r="251" spans="1:45" ht="120" x14ac:dyDescent="0.25">
      <c r="A251" s="22" t="s">
        <v>54</v>
      </c>
      <c r="B251" s="43">
        <v>4</v>
      </c>
      <c r="C251" s="43">
        <v>245</v>
      </c>
      <c r="D251" s="311" t="s">
        <v>65</v>
      </c>
      <c r="E251" s="311" t="s">
        <v>65</v>
      </c>
      <c r="F251" s="311" t="s">
        <v>65</v>
      </c>
      <c r="G251" s="311" t="s">
        <v>776</v>
      </c>
      <c r="H251" s="311" t="s">
        <v>776</v>
      </c>
      <c r="I251" s="16" t="s">
        <v>20</v>
      </c>
      <c r="J251" s="17">
        <v>0.33</v>
      </c>
      <c r="K251" s="49">
        <v>1650</v>
      </c>
      <c r="L251" s="19"/>
      <c r="M251" s="19"/>
      <c r="N251" s="19"/>
      <c r="O251" s="19"/>
      <c r="P251" s="19"/>
      <c r="Q251" s="47">
        <v>5000</v>
      </c>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f t="shared" si="12"/>
        <v>5000</v>
      </c>
      <c r="AQ251" s="21">
        <f t="shared" si="10"/>
        <v>1650</v>
      </c>
      <c r="AR251" s="19">
        <f t="shared" si="11"/>
        <v>1375</v>
      </c>
      <c r="AS251" s="19">
        <v>1375</v>
      </c>
    </row>
    <row r="252" spans="1:45" ht="45" x14ac:dyDescent="0.25">
      <c r="A252" s="22"/>
      <c r="B252" s="43"/>
      <c r="C252" s="43">
        <v>245</v>
      </c>
      <c r="D252" s="282" t="s">
        <v>770</v>
      </c>
      <c r="E252" s="282" t="s">
        <v>770</v>
      </c>
      <c r="F252" s="282" t="s">
        <v>770</v>
      </c>
      <c r="G252" s="342" t="s">
        <v>770</v>
      </c>
      <c r="H252" s="342" t="s">
        <v>770</v>
      </c>
      <c r="I252" s="16" t="s">
        <v>20</v>
      </c>
      <c r="J252" s="17"/>
      <c r="K252" s="49"/>
      <c r="L252" s="19"/>
      <c r="M252" s="19"/>
      <c r="N252" s="19"/>
      <c r="O252" s="19"/>
      <c r="P252" s="19"/>
      <c r="Q252" s="47">
        <v>5</v>
      </c>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f t="shared" si="12"/>
        <v>5</v>
      </c>
      <c r="AQ252" s="21">
        <f t="shared" si="10"/>
        <v>0</v>
      </c>
      <c r="AR252" s="19">
        <f t="shared" si="11"/>
        <v>0</v>
      </c>
      <c r="AS252" s="19">
        <v>0</v>
      </c>
    </row>
    <row r="253" spans="1:45" ht="120" x14ac:dyDescent="0.25">
      <c r="A253" s="22" t="s">
        <v>54</v>
      </c>
      <c r="B253" s="43">
        <v>3</v>
      </c>
      <c r="C253" s="43">
        <v>246</v>
      </c>
      <c r="D253" s="311" t="s">
        <v>62</v>
      </c>
      <c r="E253" s="311" t="s">
        <v>62</v>
      </c>
      <c r="F253" s="311" t="s">
        <v>62</v>
      </c>
      <c r="G253" s="311" t="s">
        <v>777</v>
      </c>
      <c r="H253" s="311" t="s">
        <v>777</v>
      </c>
      <c r="I253" s="16" t="s">
        <v>20</v>
      </c>
      <c r="J253" s="17">
        <v>0.33</v>
      </c>
      <c r="K253" s="49">
        <v>1650</v>
      </c>
      <c r="L253" s="19"/>
      <c r="M253" s="19"/>
      <c r="N253" s="19"/>
      <c r="O253" s="19"/>
      <c r="P253" s="19"/>
      <c r="Q253" s="47">
        <v>5000</v>
      </c>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f t="shared" si="12"/>
        <v>5000</v>
      </c>
      <c r="AQ253" s="21">
        <f t="shared" si="10"/>
        <v>1650</v>
      </c>
      <c r="AR253" s="19">
        <f t="shared" si="11"/>
        <v>1375</v>
      </c>
      <c r="AS253" s="19">
        <v>1375</v>
      </c>
    </row>
    <row r="254" spans="1:45" ht="45" x14ac:dyDescent="0.25">
      <c r="A254" s="22"/>
      <c r="B254" s="43"/>
      <c r="C254" s="43">
        <v>246</v>
      </c>
      <c r="D254" s="282" t="s">
        <v>770</v>
      </c>
      <c r="E254" s="282" t="s">
        <v>770</v>
      </c>
      <c r="F254" s="282" t="s">
        <v>770</v>
      </c>
      <c r="G254" s="342" t="s">
        <v>770</v>
      </c>
      <c r="H254" s="342" t="s">
        <v>770</v>
      </c>
      <c r="I254" s="16" t="s">
        <v>20</v>
      </c>
      <c r="J254" s="17"/>
      <c r="K254" s="49"/>
      <c r="L254" s="19"/>
      <c r="M254" s="19"/>
      <c r="N254" s="19"/>
      <c r="O254" s="19"/>
      <c r="P254" s="19"/>
      <c r="Q254" s="47">
        <v>5</v>
      </c>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f t="shared" si="12"/>
        <v>5</v>
      </c>
      <c r="AQ254" s="21">
        <f t="shared" si="10"/>
        <v>0</v>
      </c>
      <c r="AR254" s="19">
        <f t="shared" si="11"/>
        <v>0</v>
      </c>
      <c r="AS254" s="19">
        <v>0</v>
      </c>
    </row>
    <row r="255" spans="1:45" ht="75" x14ac:dyDescent="0.25">
      <c r="A255" s="22" t="s">
        <v>308</v>
      </c>
      <c r="B255" s="43">
        <v>6</v>
      </c>
      <c r="C255" s="43">
        <v>247</v>
      </c>
      <c r="D255" s="282" t="s">
        <v>316</v>
      </c>
      <c r="E255" s="282" t="s">
        <v>316</v>
      </c>
      <c r="F255" s="282" t="s">
        <v>316</v>
      </c>
      <c r="G255" s="282" t="s">
        <v>317</v>
      </c>
      <c r="H255" s="282" t="s">
        <v>317</v>
      </c>
      <c r="I255" s="16" t="s">
        <v>20</v>
      </c>
      <c r="J255" s="283">
        <v>120</v>
      </c>
      <c r="K255" s="283">
        <v>1200</v>
      </c>
      <c r="L255" s="19"/>
      <c r="M255" s="19"/>
      <c r="N255" s="19"/>
      <c r="O255" s="19"/>
      <c r="P255" s="19"/>
      <c r="Q255" s="19"/>
      <c r="R255" s="19"/>
      <c r="S255" s="19"/>
      <c r="T255" s="19"/>
      <c r="U255" s="19"/>
      <c r="V255" s="19"/>
      <c r="W255" s="283">
        <v>10</v>
      </c>
      <c r="X255" s="19"/>
      <c r="Y255" s="19"/>
      <c r="Z255" s="19"/>
      <c r="AA255" s="19"/>
      <c r="AB255" s="19"/>
      <c r="AC255" s="19"/>
      <c r="AD255" s="19"/>
      <c r="AE255" s="19"/>
      <c r="AF255" s="19"/>
      <c r="AG255" s="19"/>
      <c r="AH255" s="19"/>
      <c r="AI255" s="19"/>
      <c r="AJ255" s="19"/>
      <c r="AK255" s="19"/>
      <c r="AL255" s="19"/>
      <c r="AM255" s="19"/>
      <c r="AN255" s="19"/>
      <c r="AO255" s="19"/>
      <c r="AP255" s="19">
        <f t="shared" si="12"/>
        <v>10</v>
      </c>
      <c r="AQ255" s="21">
        <f t="shared" si="10"/>
        <v>1200</v>
      </c>
      <c r="AR255" s="19">
        <f t="shared" si="11"/>
        <v>1000</v>
      </c>
      <c r="AS255" s="19">
        <v>1000</v>
      </c>
    </row>
    <row r="256" spans="1:45" ht="240" x14ac:dyDescent="0.25">
      <c r="A256" s="22"/>
      <c r="B256" s="344">
        <v>1</v>
      </c>
      <c r="C256" s="344">
        <v>248</v>
      </c>
      <c r="D256" s="310" t="s">
        <v>504</v>
      </c>
      <c r="E256" s="310" t="s">
        <v>504</v>
      </c>
      <c r="F256" s="310" t="s">
        <v>504</v>
      </c>
      <c r="G256" s="315" t="s">
        <v>505</v>
      </c>
      <c r="H256" s="315" t="s">
        <v>505</v>
      </c>
      <c r="I256" s="16" t="s">
        <v>20</v>
      </c>
      <c r="J256" s="345">
        <v>250</v>
      </c>
      <c r="K256" s="344">
        <v>5000</v>
      </c>
      <c r="L256" s="19"/>
      <c r="M256" s="19"/>
      <c r="N256" s="19"/>
      <c r="O256" s="19"/>
      <c r="P256" s="19"/>
      <c r="Q256" s="19"/>
      <c r="R256" s="19"/>
      <c r="S256" s="19"/>
      <c r="T256" s="19"/>
      <c r="U256" s="19"/>
      <c r="V256" s="19"/>
      <c r="W256" s="19"/>
      <c r="X256" s="19"/>
      <c r="Y256" s="19"/>
      <c r="Z256" s="344">
        <v>20</v>
      </c>
      <c r="AA256" s="19"/>
      <c r="AB256" s="19"/>
      <c r="AC256" s="19"/>
      <c r="AD256" s="19"/>
      <c r="AE256" s="19"/>
      <c r="AF256" s="19"/>
      <c r="AG256" s="19"/>
      <c r="AH256" s="19"/>
      <c r="AI256" s="19"/>
      <c r="AJ256" s="19"/>
      <c r="AK256" s="19"/>
      <c r="AL256" s="19"/>
      <c r="AM256" s="19"/>
      <c r="AN256" s="19"/>
      <c r="AO256" s="19"/>
      <c r="AP256" s="19">
        <f t="shared" si="12"/>
        <v>20</v>
      </c>
      <c r="AQ256" s="21">
        <f t="shared" si="10"/>
        <v>5000</v>
      </c>
      <c r="AR256" s="19">
        <f t="shared" si="11"/>
        <v>4166.666666666667</v>
      </c>
      <c r="AS256" s="19">
        <v>4166.67</v>
      </c>
    </row>
    <row r="257" spans="1:45" ht="60" x14ac:dyDescent="0.25">
      <c r="A257" s="19"/>
      <c r="B257" s="23"/>
      <c r="C257" s="43">
        <v>249</v>
      </c>
      <c r="D257" s="297" t="s">
        <v>151</v>
      </c>
      <c r="E257" s="297" t="s">
        <v>151</v>
      </c>
      <c r="F257" s="297" t="s">
        <v>151</v>
      </c>
      <c r="G257" s="298" t="s">
        <v>152</v>
      </c>
      <c r="H257" s="298" t="s">
        <v>152</v>
      </c>
      <c r="I257" s="16" t="s">
        <v>20</v>
      </c>
      <c r="J257" s="17">
        <v>100</v>
      </c>
      <c r="K257" s="18">
        <v>50000</v>
      </c>
      <c r="L257" s="19"/>
      <c r="M257" s="19"/>
      <c r="N257" s="19"/>
      <c r="O257" s="19"/>
      <c r="P257" s="19"/>
      <c r="Q257" s="19"/>
      <c r="R257" s="19"/>
      <c r="S257" s="16">
        <v>500</v>
      </c>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f t="shared" si="12"/>
        <v>500</v>
      </c>
      <c r="AQ257" s="21">
        <f t="shared" si="10"/>
        <v>50000</v>
      </c>
      <c r="AR257" s="19">
        <f t="shared" si="11"/>
        <v>41666.666666666672</v>
      </c>
      <c r="AS257" s="19">
        <v>41666.670000000006</v>
      </c>
    </row>
    <row r="258" spans="1:45" ht="60" x14ac:dyDescent="0.25">
      <c r="A258" s="22" t="s">
        <v>360</v>
      </c>
      <c r="B258" s="119">
        <v>21</v>
      </c>
      <c r="C258" s="43">
        <v>250</v>
      </c>
      <c r="D258" s="320" t="s">
        <v>424</v>
      </c>
      <c r="E258" s="320" t="s">
        <v>424</v>
      </c>
      <c r="F258" s="320" t="s">
        <v>424</v>
      </c>
      <c r="G258" s="311" t="s">
        <v>425</v>
      </c>
      <c r="H258" s="311" t="s">
        <v>425</v>
      </c>
      <c r="I258" s="16" t="s">
        <v>20</v>
      </c>
      <c r="J258" s="312">
        <v>980</v>
      </c>
      <c r="K258" s="313">
        <v>29400</v>
      </c>
      <c r="L258" s="19"/>
      <c r="M258" s="19"/>
      <c r="N258" s="19"/>
      <c r="O258" s="19"/>
      <c r="P258" s="19"/>
      <c r="Q258" s="19"/>
      <c r="R258" s="19"/>
      <c r="S258" s="19"/>
      <c r="T258" s="19"/>
      <c r="U258" s="19"/>
      <c r="V258" s="19"/>
      <c r="W258" s="19"/>
      <c r="X258" s="312">
        <v>30</v>
      </c>
      <c r="Y258" s="19"/>
      <c r="Z258" s="19"/>
      <c r="AA258" s="19"/>
      <c r="AB258" s="19"/>
      <c r="AC258" s="19"/>
      <c r="AD258" s="19"/>
      <c r="AE258" s="19"/>
      <c r="AF258" s="19"/>
      <c r="AG258" s="19"/>
      <c r="AH258" s="19"/>
      <c r="AI258" s="19"/>
      <c r="AJ258" s="19"/>
      <c r="AK258" s="19"/>
      <c r="AL258" s="19"/>
      <c r="AM258" s="19"/>
      <c r="AN258" s="19"/>
      <c r="AO258" s="19"/>
      <c r="AP258" s="19">
        <f t="shared" si="12"/>
        <v>30</v>
      </c>
      <c r="AQ258" s="21">
        <f t="shared" si="10"/>
        <v>29400</v>
      </c>
      <c r="AR258" s="19">
        <f t="shared" si="11"/>
        <v>24500</v>
      </c>
      <c r="AS258" s="19">
        <v>24500</v>
      </c>
    </row>
    <row r="259" spans="1:45" ht="45" x14ac:dyDescent="0.25">
      <c r="A259" s="22" t="s">
        <v>76</v>
      </c>
      <c r="B259" s="23">
        <v>12</v>
      </c>
      <c r="C259" s="344">
        <v>251</v>
      </c>
      <c r="D259" s="297" t="s">
        <v>104</v>
      </c>
      <c r="E259" s="297" t="s">
        <v>104</v>
      </c>
      <c r="F259" s="297" t="s">
        <v>104</v>
      </c>
      <c r="G259" s="297" t="s">
        <v>106</v>
      </c>
      <c r="H259" s="297" t="s">
        <v>106</v>
      </c>
      <c r="I259" s="16" t="s">
        <v>20</v>
      </c>
      <c r="J259" s="17">
        <v>1800</v>
      </c>
      <c r="K259" s="18">
        <f>J259*R259</f>
        <v>18000</v>
      </c>
      <c r="L259" s="19"/>
      <c r="M259" s="19"/>
      <c r="N259" s="19"/>
      <c r="O259" s="19"/>
      <c r="P259" s="19"/>
      <c r="Q259" s="19"/>
      <c r="R259" s="16">
        <v>10</v>
      </c>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f t="shared" si="12"/>
        <v>10</v>
      </c>
      <c r="AQ259" s="21">
        <f t="shared" ref="AQ259:AQ264" si="13">AP259*J259</f>
        <v>18000</v>
      </c>
      <c r="AR259" s="19">
        <f t="shared" ref="AR259:AR264" si="14">AQ259/1.2</f>
        <v>15000</v>
      </c>
      <c r="AS259" s="19">
        <v>15000</v>
      </c>
    </row>
    <row r="260" spans="1:45" ht="60" x14ac:dyDescent="0.25">
      <c r="A260" s="22"/>
      <c r="B260" s="23">
        <v>1</v>
      </c>
      <c r="C260" s="43">
        <v>252</v>
      </c>
      <c r="D260" s="297" t="s">
        <v>77</v>
      </c>
      <c r="E260" s="297" t="s">
        <v>77</v>
      </c>
      <c r="F260" s="297" t="s">
        <v>77</v>
      </c>
      <c r="G260" s="297" t="s">
        <v>78</v>
      </c>
      <c r="H260" s="297" t="s">
        <v>78</v>
      </c>
      <c r="I260" s="16" t="s">
        <v>20</v>
      </c>
      <c r="J260" s="18">
        <v>1500</v>
      </c>
      <c r="K260" s="18">
        <v>45000</v>
      </c>
      <c r="L260" s="19"/>
      <c r="M260" s="19"/>
      <c r="N260" s="19"/>
      <c r="O260" s="19"/>
      <c r="P260" s="19"/>
      <c r="Q260" s="19"/>
      <c r="R260" s="16">
        <v>30</v>
      </c>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f t="shared" si="12"/>
        <v>30</v>
      </c>
      <c r="AQ260" s="21">
        <f t="shared" si="13"/>
        <v>45000</v>
      </c>
      <c r="AR260" s="19">
        <f t="shared" si="14"/>
        <v>37500</v>
      </c>
      <c r="AS260" s="19">
        <v>37500</v>
      </c>
    </row>
    <row r="261" spans="1:45" ht="30" x14ac:dyDescent="0.25">
      <c r="A261" s="22" t="s">
        <v>452</v>
      </c>
      <c r="B261" s="172"/>
      <c r="C261" s="43">
        <v>253</v>
      </c>
      <c r="D261" s="282" t="s">
        <v>472</v>
      </c>
      <c r="E261" s="282" t="s">
        <v>472</v>
      </c>
      <c r="F261" s="282" t="s">
        <v>472</v>
      </c>
      <c r="G261" s="282" t="s">
        <v>472</v>
      </c>
      <c r="H261" s="282" t="s">
        <v>472</v>
      </c>
      <c r="I261" s="17" t="s">
        <v>783</v>
      </c>
      <c r="J261" s="18">
        <v>660</v>
      </c>
      <c r="K261" s="18">
        <f>J261*Y261</f>
        <v>1320</v>
      </c>
      <c r="L261" s="19"/>
      <c r="M261" s="19"/>
      <c r="N261" s="19"/>
      <c r="O261" s="19"/>
      <c r="P261" s="19"/>
      <c r="Q261" s="19"/>
      <c r="R261" s="19"/>
      <c r="S261" s="19"/>
      <c r="T261" s="19"/>
      <c r="U261" s="19"/>
      <c r="V261" s="19"/>
      <c r="W261" s="19"/>
      <c r="X261" s="19"/>
      <c r="Y261" s="17">
        <v>2</v>
      </c>
      <c r="Z261" s="19"/>
      <c r="AA261" s="19"/>
      <c r="AB261" s="19"/>
      <c r="AC261" s="19"/>
      <c r="AD261" s="19"/>
      <c r="AE261" s="19"/>
      <c r="AF261" s="19"/>
      <c r="AG261" s="19"/>
      <c r="AH261" s="19"/>
      <c r="AI261" s="19"/>
      <c r="AJ261" s="19"/>
      <c r="AK261" s="19"/>
      <c r="AL261" s="19"/>
      <c r="AM261" s="19"/>
      <c r="AN261" s="19"/>
      <c r="AO261" s="19"/>
      <c r="AP261" s="19">
        <f t="shared" si="12"/>
        <v>2</v>
      </c>
      <c r="AQ261" s="21">
        <f t="shared" si="13"/>
        <v>1320</v>
      </c>
      <c r="AR261" s="19">
        <f t="shared" si="14"/>
        <v>1100</v>
      </c>
      <c r="AS261" s="19">
        <v>1100</v>
      </c>
    </row>
    <row r="262" spans="1:45" ht="135" x14ac:dyDescent="0.25">
      <c r="A262" s="22" t="s">
        <v>308</v>
      </c>
      <c r="B262" s="43">
        <v>15</v>
      </c>
      <c r="C262" s="344">
        <v>254</v>
      </c>
      <c r="D262" s="282" t="s">
        <v>338</v>
      </c>
      <c r="E262" s="282" t="s">
        <v>338</v>
      </c>
      <c r="F262" s="282" t="s">
        <v>338</v>
      </c>
      <c r="G262" s="282" t="s">
        <v>338</v>
      </c>
      <c r="H262" s="282" t="s">
        <v>338</v>
      </c>
      <c r="I262" s="16" t="s">
        <v>20</v>
      </c>
      <c r="J262" s="276">
        <v>9180</v>
      </c>
      <c r="K262" s="304">
        <v>18360</v>
      </c>
      <c r="L262" s="19"/>
      <c r="M262" s="19"/>
      <c r="N262" s="19"/>
      <c r="O262" s="19"/>
      <c r="P262" s="19"/>
      <c r="Q262" s="19"/>
      <c r="R262" s="19"/>
      <c r="S262" s="19"/>
      <c r="T262" s="19"/>
      <c r="U262" s="19"/>
      <c r="V262" s="19"/>
      <c r="W262" s="276">
        <v>2</v>
      </c>
      <c r="X262" s="19"/>
      <c r="Y262" s="19"/>
      <c r="Z262" s="19"/>
      <c r="AA262" s="19"/>
      <c r="AB262" s="19"/>
      <c r="AC262" s="19"/>
      <c r="AD262" s="19"/>
      <c r="AE262" s="19"/>
      <c r="AF262" s="19"/>
      <c r="AG262" s="19"/>
      <c r="AH262" s="19"/>
      <c r="AI262" s="19"/>
      <c r="AJ262" s="19"/>
      <c r="AK262" s="19"/>
      <c r="AL262" s="19"/>
      <c r="AM262" s="19"/>
      <c r="AN262" s="19"/>
      <c r="AO262" s="19"/>
      <c r="AP262" s="19">
        <f t="shared" si="12"/>
        <v>2</v>
      </c>
      <c r="AQ262" s="21">
        <f t="shared" si="13"/>
        <v>18360</v>
      </c>
      <c r="AR262" s="19">
        <f t="shared" si="14"/>
        <v>15300</v>
      </c>
      <c r="AS262" s="19">
        <v>15300</v>
      </c>
    </row>
    <row r="263" spans="1:45" ht="45" x14ac:dyDescent="0.25">
      <c r="A263" s="22" t="s">
        <v>308</v>
      </c>
      <c r="B263" s="172">
        <v>8</v>
      </c>
      <c r="C263" s="43">
        <v>255</v>
      </c>
      <c r="D263" s="299" t="s">
        <v>357</v>
      </c>
      <c r="E263" s="299" t="s">
        <v>357</v>
      </c>
      <c r="F263" s="299" t="s">
        <v>357</v>
      </c>
      <c r="G263" s="299" t="s">
        <v>358</v>
      </c>
      <c r="H263" s="299" t="s">
        <v>358</v>
      </c>
      <c r="I263" s="16" t="s">
        <v>20</v>
      </c>
      <c r="J263" s="49">
        <v>12</v>
      </c>
      <c r="K263" s="49">
        <v>1200</v>
      </c>
      <c r="L263" s="19"/>
      <c r="M263" s="19"/>
      <c r="N263" s="19"/>
      <c r="O263" s="19"/>
      <c r="P263" s="19"/>
      <c r="Q263" s="19"/>
      <c r="R263" s="19"/>
      <c r="S263" s="19"/>
      <c r="T263" s="19"/>
      <c r="U263" s="19"/>
      <c r="V263" s="19"/>
      <c r="W263" s="47">
        <v>100</v>
      </c>
      <c r="X263" s="19"/>
      <c r="Y263" s="19"/>
      <c r="Z263" s="19"/>
      <c r="AA263" s="19"/>
      <c r="AB263" s="19"/>
      <c r="AC263" s="19"/>
      <c r="AD263" s="19"/>
      <c r="AE263" s="19"/>
      <c r="AF263" s="19"/>
      <c r="AG263" s="19"/>
      <c r="AH263" s="19"/>
      <c r="AI263" s="19"/>
      <c r="AJ263" s="19"/>
      <c r="AK263" s="19"/>
      <c r="AL263" s="19"/>
      <c r="AM263" s="19"/>
      <c r="AN263" s="19"/>
      <c r="AO263" s="19"/>
      <c r="AP263" s="19">
        <f t="shared" si="12"/>
        <v>100</v>
      </c>
      <c r="AQ263" s="21">
        <f t="shared" si="13"/>
        <v>1200</v>
      </c>
      <c r="AR263" s="19">
        <f t="shared" si="14"/>
        <v>1000</v>
      </c>
      <c r="AS263" s="19">
        <v>1000</v>
      </c>
    </row>
    <row r="264" spans="1:45" ht="30" x14ac:dyDescent="0.25">
      <c r="A264" s="22" t="s">
        <v>179</v>
      </c>
      <c r="B264" s="23">
        <v>42</v>
      </c>
      <c r="C264" s="43">
        <v>256</v>
      </c>
      <c r="D264" s="12" t="s">
        <v>254</v>
      </c>
      <c r="E264" s="12" t="s">
        <v>254</v>
      </c>
      <c r="F264" s="12" t="s">
        <v>254</v>
      </c>
      <c r="G264" s="12" t="s">
        <v>254</v>
      </c>
      <c r="H264" s="12" t="s">
        <v>254</v>
      </c>
      <c r="I264" s="16" t="s">
        <v>20</v>
      </c>
      <c r="J264" s="17">
        <v>9500</v>
      </c>
      <c r="K264" s="18">
        <f>J264*U264</f>
        <v>19000</v>
      </c>
      <c r="L264" s="19"/>
      <c r="M264" s="19"/>
      <c r="N264" s="19"/>
      <c r="O264" s="19"/>
      <c r="P264" s="19"/>
      <c r="Q264" s="19"/>
      <c r="R264" s="19"/>
      <c r="S264" s="19"/>
      <c r="T264" s="19"/>
      <c r="U264" s="16">
        <v>2</v>
      </c>
      <c r="V264" s="19"/>
      <c r="W264" s="19"/>
      <c r="X264" s="19"/>
      <c r="Y264" s="19"/>
      <c r="Z264" s="19"/>
      <c r="AA264" s="19"/>
      <c r="AB264" s="19"/>
      <c r="AC264" s="19"/>
      <c r="AD264" s="19"/>
      <c r="AE264" s="19"/>
      <c r="AF264" s="19"/>
      <c r="AG264" s="19"/>
      <c r="AH264" s="19"/>
      <c r="AI264" s="19"/>
      <c r="AJ264" s="19"/>
      <c r="AK264" s="19"/>
      <c r="AL264" s="19"/>
      <c r="AM264" s="19"/>
      <c r="AN264" s="19"/>
      <c r="AO264" s="19"/>
      <c r="AP264" s="19">
        <f t="shared" si="12"/>
        <v>2</v>
      </c>
      <c r="AQ264" s="21">
        <f t="shared" si="13"/>
        <v>19000</v>
      </c>
      <c r="AR264" s="19">
        <f t="shared" si="14"/>
        <v>15833.333333333334</v>
      </c>
      <c r="AS264" s="19">
        <v>15833.34</v>
      </c>
    </row>
    <row r="265" spans="1:45" ht="15" x14ac:dyDescent="0.25">
      <c r="AR265" s="350">
        <f>SUM(AR2:AR264)</f>
        <v>12653114.66666667</v>
      </c>
      <c r="AS265" s="349">
        <f>SUM(AS2:AS264)</f>
        <v>12653115.269999988</v>
      </c>
    </row>
    <row r="266" spans="1:45" ht="15" x14ac:dyDescent="0.25"/>
  </sheetData>
  <autoFilter ref="A1:AP266" xr:uid="{00000000-0009-0000-0000-000001000000}">
    <sortState xmlns:xlrd2="http://schemas.microsoft.com/office/spreadsheetml/2017/richdata2" ref="A2:AN266">
      <sortCondition ref="D1:D266"/>
    </sortState>
  </autoFilter>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SUplimentar</vt:lpstr>
      <vt:lpstr>SUplimentar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Jantuan Mariana</cp:lastModifiedBy>
  <dcterms:created xsi:type="dcterms:W3CDTF">2025-08-01T14:24:30Z</dcterms:created>
  <dcterms:modified xsi:type="dcterms:W3CDTF">2025-09-04T12:23:57Z</dcterms:modified>
</cp:coreProperties>
</file>